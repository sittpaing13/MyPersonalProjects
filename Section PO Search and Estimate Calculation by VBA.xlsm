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fileSharing readOnlyRecommended="1" userName="Pro01" algorithmName="SHA-512" hashValue="TYS5WZjfSpkIVVfoZegGmClIF6uH2p/1UWeP4HvNIs61jziVjguESbc+dp1Wj1N+l1gW0LLYnei+YYKEzDl+4w==" saltValue="vrtTfWHdK1SRthO3KbQg2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\\etec\TX Department 1\11_TX Production Section\Line by line efficiency\other\"/>
    </mc:Choice>
  </mc:AlternateContent>
  <xr:revisionPtr revIDLastSave="0" documentId="13_ncr:10001_{7110E141-28AA-4F8C-B9F6-6898AB1EA9E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OSearch" sheetId="2" r:id="rId1"/>
    <sheet name="SourcePO" sheetId="1" r:id="rId2"/>
  </sheets>
  <externalReferences>
    <externalReference r:id="rId3"/>
  </externalReferences>
  <definedNames>
    <definedName name="_xlnm._FilterDatabase" localSheetId="1" hidden="1">SourcePO!$A$1:$G$1</definedName>
    <definedName name="PartnoList">OFFSET(SourcePO!$A$2,0,0,COUNTA(SourcePO!$A:$A)-1,1)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L12" i="1"/>
  <c r="K12" i="1"/>
  <c r="J12" i="1"/>
  <c r="I12" i="1"/>
  <c r="M11" i="1"/>
  <c r="L11" i="1"/>
  <c r="K11" i="1"/>
  <c r="J11" i="1"/>
  <c r="I11" i="1"/>
  <c r="M10" i="1"/>
  <c r="L10" i="1"/>
  <c r="K10" i="1"/>
  <c r="J10" i="1"/>
  <c r="I10" i="1"/>
  <c r="M9" i="1"/>
  <c r="L9" i="1"/>
  <c r="K9" i="1"/>
  <c r="J9" i="1"/>
  <c r="I9" i="1"/>
  <c r="M6" i="1"/>
  <c r="L6" i="1"/>
  <c r="K6" i="1"/>
  <c r="J6" i="1"/>
  <c r="I6" i="1"/>
  <c r="M510" i="1"/>
  <c r="L510" i="1"/>
  <c r="K510" i="1"/>
  <c r="J510" i="1"/>
  <c r="I510" i="1"/>
  <c r="M509" i="1"/>
  <c r="L509" i="1"/>
  <c r="K509" i="1"/>
  <c r="J509" i="1"/>
  <c r="I509" i="1"/>
  <c r="M508" i="1"/>
  <c r="L508" i="1"/>
  <c r="K508" i="1"/>
  <c r="J508" i="1"/>
  <c r="I508" i="1"/>
  <c r="M507" i="1"/>
  <c r="L507" i="1"/>
  <c r="K507" i="1"/>
  <c r="J507" i="1"/>
  <c r="I507" i="1"/>
  <c r="M506" i="1"/>
  <c r="L506" i="1"/>
  <c r="K506" i="1"/>
  <c r="J506" i="1"/>
  <c r="I506" i="1"/>
  <c r="M505" i="1"/>
  <c r="L505" i="1"/>
  <c r="K505" i="1"/>
  <c r="J505" i="1"/>
  <c r="I505" i="1"/>
  <c r="M504" i="1"/>
  <c r="L504" i="1"/>
  <c r="K504" i="1"/>
  <c r="J504" i="1"/>
  <c r="I504" i="1"/>
  <c r="M503" i="1"/>
  <c r="L503" i="1"/>
  <c r="K503" i="1"/>
  <c r="J503" i="1"/>
  <c r="I503" i="1"/>
  <c r="M502" i="1"/>
  <c r="L502" i="1"/>
  <c r="K502" i="1"/>
  <c r="J502" i="1"/>
  <c r="I502" i="1"/>
  <c r="M501" i="1"/>
  <c r="L501" i="1"/>
  <c r="K501" i="1"/>
  <c r="J501" i="1"/>
  <c r="I501" i="1"/>
  <c r="M500" i="1"/>
  <c r="L500" i="1"/>
  <c r="K500" i="1"/>
  <c r="J500" i="1"/>
  <c r="I500" i="1"/>
  <c r="M499" i="1"/>
  <c r="L499" i="1"/>
  <c r="K499" i="1"/>
  <c r="J499" i="1"/>
  <c r="I499" i="1"/>
  <c r="M498" i="1"/>
  <c r="L498" i="1"/>
  <c r="K498" i="1"/>
  <c r="J498" i="1"/>
  <c r="I498" i="1"/>
  <c r="M497" i="1"/>
  <c r="L497" i="1"/>
  <c r="K497" i="1"/>
  <c r="J497" i="1"/>
  <c r="I497" i="1"/>
  <c r="M496" i="1"/>
  <c r="L496" i="1"/>
  <c r="K496" i="1"/>
  <c r="J496" i="1"/>
  <c r="I496" i="1"/>
  <c r="M495" i="1"/>
  <c r="L495" i="1"/>
  <c r="K495" i="1"/>
  <c r="J495" i="1"/>
  <c r="I495" i="1"/>
  <c r="M494" i="1"/>
  <c r="L494" i="1"/>
  <c r="K494" i="1"/>
  <c r="J494" i="1"/>
  <c r="I494" i="1"/>
  <c r="M493" i="1"/>
  <c r="L493" i="1"/>
  <c r="K493" i="1"/>
  <c r="J493" i="1"/>
  <c r="I493" i="1"/>
  <c r="M492" i="1"/>
  <c r="L492" i="1"/>
  <c r="K492" i="1"/>
  <c r="J492" i="1"/>
  <c r="I492" i="1"/>
  <c r="M491" i="1"/>
  <c r="L491" i="1"/>
  <c r="K491" i="1"/>
  <c r="J491" i="1"/>
  <c r="I491" i="1"/>
  <c r="M490" i="1"/>
  <c r="L490" i="1"/>
  <c r="K490" i="1"/>
  <c r="J490" i="1"/>
  <c r="I490" i="1"/>
  <c r="M489" i="1"/>
  <c r="L489" i="1"/>
  <c r="K489" i="1"/>
  <c r="J489" i="1"/>
  <c r="I489" i="1"/>
  <c r="M488" i="1"/>
  <c r="L488" i="1"/>
  <c r="K488" i="1"/>
  <c r="J488" i="1"/>
  <c r="I488" i="1"/>
  <c r="M487" i="1"/>
  <c r="L487" i="1"/>
  <c r="K487" i="1"/>
  <c r="J487" i="1"/>
  <c r="I487" i="1"/>
  <c r="M486" i="1"/>
  <c r="L486" i="1"/>
  <c r="K486" i="1"/>
  <c r="J486" i="1"/>
  <c r="I486" i="1"/>
  <c r="M485" i="1"/>
  <c r="L485" i="1"/>
  <c r="K485" i="1"/>
  <c r="J485" i="1"/>
  <c r="I485" i="1"/>
  <c r="M484" i="1"/>
  <c r="L484" i="1"/>
  <c r="K484" i="1"/>
  <c r="J484" i="1"/>
  <c r="I484" i="1"/>
  <c r="M483" i="1"/>
  <c r="L483" i="1"/>
  <c r="K483" i="1"/>
  <c r="J483" i="1"/>
  <c r="I483" i="1"/>
  <c r="M482" i="1"/>
  <c r="L482" i="1"/>
  <c r="K482" i="1"/>
  <c r="J482" i="1"/>
  <c r="I482" i="1"/>
  <c r="M481" i="1"/>
  <c r="L481" i="1"/>
  <c r="K481" i="1"/>
  <c r="J481" i="1"/>
  <c r="I481" i="1"/>
  <c r="M480" i="1"/>
  <c r="L480" i="1"/>
  <c r="K480" i="1"/>
  <c r="J480" i="1"/>
  <c r="I480" i="1"/>
  <c r="M479" i="1"/>
  <c r="L479" i="1"/>
  <c r="K479" i="1"/>
  <c r="J479" i="1"/>
  <c r="I479" i="1"/>
  <c r="M478" i="1"/>
  <c r="L478" i="1"/>
  <c r="K478" i="1"/>
  <c r="J478" i="1"/>
  <c r="I478" i="1"/>
  <c r="M477" i="1"/>
  <c r="L477" i="1"/>
  <c r="K477" i="1"/>
  <c r="J477" i="1"/>
  <c r="I477" i="1"/>
  <c r="M476" i="1"/>
  <c r="L476" i="1"/>
  <c r="K476" i="1"/>
  <c r="J476" i="1"/>
  <c r="I476" i="1"/>
  <c r="M475" i="1"/>
  <c r="L475" i="1"/>
  <c r="K475" i="1"/>
  <c r="J475" i="1"/>
  <c r="I475" i="1"/>
  <c r="M474" i="1"/>
  <c r="L474" i="1"/>
  <c r="K474" i="1"/>
  <c r="J474" i="1"/>
  <c r="I474" i="1"/>
  <c r="M473" i="1"/>
  <c r="L473" i="1"/>
  <c r="K473" i="1"/>
  <c r="J473" i="1"/>
  <c r="I473" i="1"/>
  <c r="M472" i="1"/>
  <c r="L472" i="1"/>
  <c r="K472" i="1"/>
  <c r="J472" i="1"/>
  <c r="I472" i="1"/>
  <c r="M471" i="1"/>
  <c r="L471" i="1"/>
  <c r="K471" i="1"/>
  <c r="J471" i="1"/>
  <c r="I471" i="1"/>
  <c r="M470" i="1"/>
  <c r="L470" i="1"/>
  <c r="K470" i="1"/>
  <c r="J470" i="1"/>
  <c r="I470" i="1"/>
  <c r="M469" i="1"/>
  <c r="L469" i="1"/>
  <c r="K469" i="1"/>
  <c r="J469" i="1"/>
  <c r="I469" i="1"/>
  <c r="M468" i="1"/>
  <c r="L468" i="1"/>
  <c r="K468" i="1"/>
  <c r="J468" i="1"/>
  <c r="I468" i="1"/>
  <c r="M467" i="1"/>
  <c r="L467" i="1"/>
  <c r="K467" i="1"/>
  <c r="J467" i="1"/>
  <c r="I467" i="1"/>
  <c r="M466" i="1"/>
  <c r="L466" i="1"/>
  <c r="K466" i="1"/>
  <c r="J466" i="1"/>
  <c r="I466" i="1"/>
  <c r="M465" i="1"/>
  <c r="L465" i="1"/>
  <c r="K465" i="1"/>
  <c r="J465" i="1"/>
  <c r="I465" i="1"/>
  <c r="M464" i="1"/>
  <c r="L464" i="1"/>
  <c r="K464" i="1"/>
  <c r="J464" i="1"/>
  <c r="I464" i="1"/>
  <c r="M463" i="1"/>
  <c r="L463" i="1"/>
  <c r="K463" i="1"/>
  <c r="J463" i="1"/>
  <c r="I463" i="1"/>
  <c r="M462" i="1"/>
  <c r="L462" i="1"/>
  <c r="K462" i="1"/>
  <c r="J462" i="1"/>
  <c r="I462" i="1"/>
  <c r="M461" i="1"/>
  <c r="L461" i="1"/>
  <c r="K461" i="1"/>
  <c r="J461" i="1"/>
  <c r="I461" i="1"/>
  <c r="M460" i="1"/>
  <c r="L460" i="1"/>
  <c r="K460" i="1"/>
  <c r="J460" i="1"/>
  <c r="I460" i="1"/>
  <c r="M459" i="1"/>
  <c r="L459" i="1"/>
  <c r="K459" i="1"/>
  <c r="J459" i="1"/>
  <c r="I459" i="1"/>
  <c r="M458" i="1"/>
  <c r="L458" i="1"/>
  <c r="K458" i="1"/>
  <c r="J458" i="1"/>
  <c r="I458" i="1"/>
  <c r="M457" i="1"/>
  <c r="L457" i="1"/>
  <c r="K457" i="1"/>
  <c r="J457" i="1"/>
  <c r="I457" i="1"/>
  <c r="M456" i="1"/>
  <c r="L456" i="1"/>
  <c r="K456" i="1"/>
  <c r="J456" i="1"/>
  <c r="I456" i="1"/>
  <c r="M455" i="1"/>
  <c r="L455" i="1"/>
  <c r="K455" i="1"/>
  <c r="J455" i="1"/>
  <c r="I455" i="1"/>
  <c r="M454" i="1"/>
  <c r="L454" i="1"/>
  <c r="K454" i="1"/>
  <c r="J454" i="1"/>
  <c r="I454" i="1"/>
  <c r="M453" i="1"/>
  <c r="L453" i="1"/>
  <c r="K453" i="1"/>
  <c r="J453" i="1"/>
  <c r="I453" i="1"/>
  <c r="M452" i="1"/>
  <c r="L452" i="1"/>
  <c r="K452" i="1"/>
  <c r="J452" i="1"/>
  <c r="I452" i="1"/>
  <c r="M451" i="1"/>
  <c r="L451" i="1"/>
  <c r="K451" i="1"/>
  <c r="J451" i="1"/>
  <c r="I451" i="1"/>
  <c r="M450" i="1"/>
  <c r="L450" i="1"/>
  <c r="K450" i="1"/>
  <c r="J450" i="1"/>
  <c r="I450" i="1"/>
  <c r="M449" i="1"/>
  <c r="L449" i="1"/>
  <c r="K449" i="1"/>
  <c r="J449" i="1"/>
  <c r="I449" i="1"/>
  <c r="M448" i="1"/>
  <c r="L448" i="1"/>
  <c r="K448" i="1"/>
  <c r="J448" i="1"/>
  <c r="I448" i="1"/>
  <c r="M447" i="1"/>
  <c r="L447" i="1"/>
  <c r="K447" i="1"/>
  <c r="J447" i="1"/>
  <c r="I447" i="1"/>
  <c r="M446" i="1"/>
  <c r="L446" i="1"/>
  <c r="K446" i="1"/>
  <c r="J446" i="1"/>
  <c r="I446" i="1"/>
  <c r="M445" i="1"/>
  <c r="L445" i="1"/>
  <c r="K445" i="1"/>
  <c r="J445" i="1"/>
  <c r="I445" i="1"/>
  <c r="M444" i="1"/>
  <c r="L444" i="1"/>
  <c r="K444" i="1"/>
  <c r="J444" i="1"/>
  <c r="I444" i="1"/>
  <c r="M443" i="1"/>
  <c r="L443" i="1"/>
  <c r="K443" i="1"/>
  <c r="J443" i="1"/>
  <c r="I443" i="1"/>
  <c r="M442" i="1"/>
  <c r="L442" i="1"/>
  <c r="K442" i="1"/>
  <c r="J442" i="1"/>
  <c r="I442" i="1"/>
  <c r="M441" i="1"/>
  <c r="L441" i="1"/>
  <c r="K441" i="1"/>
  <c r="J441" i="1"/>
  <c r="I441" i="1"/>
  <c r="M440" i="1"/>
  <c r="L440" i="1"/>
  <c r="K440" i="1"/>
  <c r="J440" i="1"/>
  <c r="I440" i="1"/>
  <c r="M439" i="1"/>
  <c r="L439" i="1"/>
  <c r="K439" i="1"/>
  <c r="J439" i="1"/>
  <c r="I439" i="1"/>
  <c r="M438" i="1"/>
  <c r="L438" i="1"/>
  <c r="K438" i="1"/>
  <c r="J438" i="1"/>
  <c r="I438" i="1"/>
  <c r="M437" i="1"/>
  <c r="L437" i="1"/>
  <c r="K437" i="1"/>
  <c r="J437" i="1"/>
  <c r="I437" i="1"/>
  <c r="M436" i="1"/>
  <c r="L436" i="1"/>
  <c r="K436" i="1"/>
  <c r="J436" i="1"/>
  <c r="I436" i="1"/>
  <c r="M435" i="1"/>
  <c r="L435" i="1"/>
  <c r="K435" i="1"/>
  <c r="J435" i="1"/>
  <c r="I435" i="1"/>
  <c r="M434" i="1"/>
  <c r="L434" i="1"/>
  <c r="K434" i="1"/>
  <c r="J434" i="1"/>
  <c r="I434" i="1"/>
  <c r="M433" i="1"/>
  <c r="L433" i="1"/>
  <c r="K433" i="1"/>
  <c r="J433" i="1"/>
  <c r="I433" i="1"/>
  <c r="M432" i="1"/>
  <c r="L432" i="1"/>
  <c r="K432" i="1"/>
  <c r="J432" i="1"/>
  <c r="I432" i="1"/>
  <c r="M431" i="1"/>
  <c r="L431" i="1"/>
  <c r="K431" i="1"/>
  <c r="J431" i="1"/>
  <c r="I431" i="1"/>
  <c r="M430" i="1"/>
  <c r="L430" i="1"/>
  <c r="K430" i="1"/>
  <c r="J430" i="1"/>
  <c r="I430" i="1"/>
  <c r="M429" i="1"/>
  <c r="L429" i="1"/>
  <c r="K429" i="1"/>
  <c r="J429" i="1"/>
  <c r="I429" i="1"/>
  <c r="M428" i="1"/>
  <c r="L428" i="1"/>
  <c r="K428" i="1"/>
  <c r="J428" i="1"/>
  <c r="I428" i="1"/>
  <c r="M427" i="1"/>
  <c r="L427" i="1"/>
  <c r="K427" i="1"/>
  <c r="J427" i="1"/>
  <c r="I427" i="1"/>
  <c r="M426" i="1"/>
  <c r="L426" i="1"/>
  <c r="K426" i="1"/>
  <c r="J426" i="1"/>
  <c r="I426" i="1"/>
  <c r="M425" i="1"/>
  <c r="L425" i="1"/>
  <c r="K425" i="1"/>
  <c r="J425" i="1"/>
  <c r="I425" i="1"/>
  <c r="M424" i="1"/>
  <c r="L424" i="1"/>
  <c r="K424" i="1"/>
  <c r="J424" i="1"/>
  <c r="I424" i="1"/>
  <c r="M423" i="1"/>
  <c r="L423" i="1"/>
  <c r="K423" i="1"/>
  <c r="J423" i="1"/>
  <c r="I423" i="1"/>
  <c r="M422" i="1"/>
  <c r="L422" i="1"/>
  <c r="K422" i="1"/>
  <c r="J422" i="1"/>
  <c r="I422" i="1"/>
  <c r="M421" i="1"/>
  <c r="L421" i="1"/>
  <c r="K421" i="1"/>
  <c r="J421" i="1"/>
  <c r="I421" i="1"/>
  <c r="M420" i="1"/>
  <c r="L420" i="1"/>
  <c r="K420" i="1"/>
  <c r="J420" i="1"/>
  <c r="I420" i="1"/>
  <c r="M419" i="1"/>
  <c r="L419" i="1"/>
  <c r="K419" i="1"/>
  <c r="J419" i="1"/>
  <c r="I419" i="1"/>
  <c r="M418" i="1"/>
  <c r="L418" i="1"/>
  <c r="K418" i="1"/>
  <c r="J418" i="1"/>
  <c r="I418" i="1"/>
  <c r="M417" i="1"/>
  <c r="L417" i="1"/>
  <c r="K417" i="1"/>
  <c r="J417" i="1"/>
  <c r="I417" i="1"/>
  <c r="M416" i="1"/>
  <c r="L416" i="1"/>
  <c r="K416" i="1"/>
  <c r="J416" i="1"/>
  <c r="I416" i="1"/>
  <c r="M415" i="1"/>
  <c r="L415" i="1"/>
  <c r="K415" i="1"/>
  <c r="J415" i="1"/>
  <c r="I415" i="1"/>
  <c r="M414" i="1"/>
  <c r="L414" i="1"/>
  <c r="K414" i="1"/>
  <c r="J414" i="1"/>
  <c r="I414" i="1"/>
  <c r="M413" i="1"/>
  <c r="L413" i="1"/>
  <c r="K413" i="1"/>
  <c r="J413" i="1"/>
  <c r="I413" i="1"/>
  <c r="M412" i="1"/>
  <c r="L412" i="1"/>
  <c r="K412" i="1"/>
  <c r="J412" i="1"/>
  <c r="I412" i="1"/>
  <c r="M411" i="1"/>
  <c r="L411" i="1"/>
  <c r="K411" i="1"/>
  <c r="J411" i="1"/>
  <c r="I411" i="1"/>
  <c r="M410" i="1"/>
  <c r="L410" i="1"/>
  <c r="K410" i="1"/>
  <c r="J410" i="1"/>
  <c r="I410" i="1"/>
  <c r="M409" i="1"/>
  <c r="L409" i="1"/>
  <c r="K409" i="1"/>
  <c r="J409" i="1"/>
  <c r="I409" i="1"/>
  <c r="M408" i="1"/>
  <c r="L408" i="1"/>
  <c r="K408" i="1"/>
  <c r="J408" i="1"/>
  <c r="I408" i="1"/>
  <c r="M407" i="1"/>
  <c r="L407" i="1"/>
  <c r="K407" i="1"/>
  <c r="J407" i="1"/>
  <c r="I407" i="1"/>
  <c r="M406" i="1"/>
  <c r="L406" i="1"/>
  <c r="K406" i="1"/>
  <c r="J406" i="1"/>
  <c r="I406" i="1"/>
  <c r="M405" i="1"/>
  <c r="L405" i="1"/>
  <c r="K405" i="1"/>
  <c r="J405" i="1"/>
  <c r="I405" i="1"/>
  <c r="M404" i="1"/>
  <c r="L404" i="1"/>
  <c r="K404" i="1"/>
  <c r="J404" i="1"/>
  <c r="I404" i="1"/>
  <c r="M403" i="1"/>
  <c r="L403" i="1"/>
  <c r="K403" i="1"/>
  <c r="J403" i="1"/>
  <c r="I403" i="1"/>
  <c r="M402" i="1"/>
  <c r="L402" i="1"/>
  <c r="K402" i="1"/>
  <c r="J402" i="1"/>
  <c r="I402" i="1"/>
  <c r="M401" i="1"/>
  <c r="L401" i="1"/>
  <c r="K401" i="1"/>
  <c r="J401" i="1"/>
  <c r="I401" i="1"/>
  <c r="M400" i="1"/>
  <c r="L400" i="1"/>
  <c r="K400" i="1"/>
  <c r="J400" i="1"/>
  <c r="I400" i="1"/>
  <c r="M399" i="1"/>
  <c r="L399" i="1"/>
  <c r="K399" i="1"/>
  <c r="J399" i="1"/>
  <c r="I399" i="1"/>
  <c r="M398" i="1"/>
  <c r="L398" i="1"/>
  <c r="K398" i="1"/>
  <c r="J398" i="1"/>
  <c r="I398" i="1"/>
  <c r="M397" i="1"/>
  <c r="L397" i="1"/>
  <c r="K397" i="1"/>
  <c r="J397" i="1"/>
  <c r="I397" i="1"/>
  <c r="M396" i="1"/>
  <c r="L396" i="1"/>
  <c r="K396" i="1"/>
  <c r="J396" i="1"/>
  <c r="I396" i="1"/>
  <c r="M395" i="1"/>
  <c r="L395" i="1"/>
  <c r="K395" i="1"/>
  <c r="J395" i="1"/>
  <c r="I395" i="1"/>
  <c r="M394" i="1"/>
  <c r="L394" i="1"/>
  <c r="K394" i="1"/>
  <c r="J394" i="1"/>
  <c r="I394" i="1"/>
  <c r="M393" i="1"/>
  <c r="L393" i="1"/>
  <c r="K393" i="1"/>
  <c r="J393" i="1"/>
  <c r="I393" i="1"/>
  <c r="M392" i="1"/>
  <c r="L392" i="1"/>
  <c r="K392" i="1"/>
  <c r="J392" i="1"/>
  <c r="I392" i="1"/>
  <c r="M391" i="1"/>
  <c r="L391" i="1"/>
  <c r="K391" i="1"/>
  <c r="J391" i="1"/>
  <c r="I391" i="1"/>
  <c r="M390" i="1"/>
  <c r="L390" i="1"/>
  <c r="K390" i="1"/>
  <c r="J390" i="1"/>
  <c r="I390" i="1"/>
  <c r="M389" i="1"/>
  <c r="L389" i="1"/>
  <c r="K389" i="1"/>
  <c r="J389" i="1"/>
  <c r="I389" i="1"/>
  <c r="M388" i="1"/>
  <c r="L388" i="1"/>
  <c r="K388" i="1"/>
  <c r="J388" i="1"/>
  <c r="I388" i="1"/>
  <c r="M387" i="1"/>
  <c r="L387" i="1"/>
  <c r="K387" i="1"/>
  <c r="J387" i="1"/>
  <c r="I387" i="1"/>
  <c r="M386" i="1"/>
  <c r="L386" i="1"/>
  <c r="K386" i="1"/>
  <c r="J386" i="1"/>
  <c r="I386" i="1"/>
  <c r="M385" i="1"/>
  <c r="L385" i="1"/>
  <c r="K385" i="1"/>
  <c r="J385" i="1"/>
  <c r="I385" i="1"/>
  <c r="M384" i="1"/>
  <c r="L384" i="1"/>
  <c r="K384" i="1"/>
  <c r="J384" i="1"/>
  <c r="I384" i="1"/>
  <c r="M383" i="1"/>
  <c r="L383" i="1"/>
  <c r="K383" i="1"/>
  <c r="J383" i="1"/>
  <c r="I383" i="1"/>
  <c r="M382" i="1"/>
  <c r="L382" i="1"/>
  <c r="K382" i="1"/>
  <c r="J382" i="1"/>
  <c r="I382" i="1"/>
  <c r="M381" i="1"/>
  <c r="L381" i="1"/>
  <c r="K381" i="1"/>
  <c r="J381" i="1"/>
  <c r="I381" i="1"/>
  <c r="M380" i="1"/>
  <c r="L380" i="1"/>
  <c r="K380" i="1"/>
  <c r="J380" i="1"/>
  <c r="I380" i="1"/>
  <c r="M379" i="1"/>
  <c r="L379" i="1"/>
  <c r="K379" i="1"/>
  <c r="J379" i="1"/>
  <c r="I379" i="1"/>
  <c r="M378" i="1"/>
  <c r="L378" i="1"/>
  <c r="K378" i="1"/>
  <c r="J378" i="1"/>
  <c r="I378" i="1"/>
  <c r="M377" i="1"/>
  <c r="L377" i="1"/>
  <c r="K377" i="1"/>
  <c r="J377" i="1"/>
  <c r="I377" i="1"/>
  <c r="M376" i="1"/>
  <c r="L376" i="1"/>
  <c r="K376" i="1"/>
  <c r="J376" i="1"/>
  <c r="I376" i="1"/>
  <c r="M375" i="1"/>
  <c r="L375" i="1"/>
  <c r="K375" i="1"/>
  <c r="J375" i="1"/>
  <c r="I375" i="1"/>
  <c r="M374" i="1"/>
  <c r="L374" i="1"/>
  <c r="K374" i="1"/>
  <c r="J374" i="1"/>
  <c r="I374" i="1"/>
  <c r="M373" i="1"/>
  <c r="L373" i="1"/>
  <c r="K373" i="1"/>
  <c r="J373" i="1"/>
  <c r="I373" i="1"/>
  <c r="M372" i="1"/>
  <c r="L372" i="1"/>
  <c r="K372" i="1"/>
  <c r="J372" i="1"/>
  <c r="I372" i="1"/>
  <c r="M371" i="1"/>
  <c r="L371" i="1"/>
  <c r="K371" i="1"/>
  <c r="J371" i="1"/>
  <c r="I371" i="1"/>
  <c r="M370" i="1"/>
  <c r="L370" i="1"/>
  <c r="K370" i="1"/>
  <c r="J370" i="1"/>
  <c r="I370" i="1"/>
  <c r="M369" i="1"/>
  <c r="L369" i="1"/>
  <c r="K369" i="1"/>
  <c r="J369" i="1"/>
  <c r="I369" i="1"/>
  <c r="M368" i="1"/>
  <c r="L368" i="1"/>
  <c r="K368" i="1"/>
  <c r="J368" i="1"/>
  <c r="I368" i="1"/>
  <c r="M367" i="1"/>
  <c r="L367" i="1"/>
  <c r="K367" i="1"/>
  <c r="J367" i="1"/>
  <c r="I367" i="1"/>
  <c r="M366" i="1"/>
  <c r="L366" i="1"/>
  <c r="K366" i="1"/>
  <c r="J366" i="1"/>
  <c r="I366" i="1"/>
  <c r="M365" i="1"/>
  <c r="L365" i="1"/>
  <c r="K365" i="1"/>
  <c r="J365" i="1"/>
  <c r="I365" i="1"/>
  <c r="M364" i="1"/>
  <c r="L364" i="1"/>
  <c r="K364" i="1"/>
  <c r="J364" i="1"/>
  <c r="I364" i="1"/>
  <c r="M363" i="1"/>
  <c r="L363" i="1"/>
  <c r="K363" i="1"/>
  <c r="J363" i="1"/>
  <c r="I363" i="1"/>
  <c r="M362" i="1"/>
  <c r="L362" i="1"/>
  <c r="K362" i="1"/>
  <c r="J362" i="1"/>
  <c r="I362" i="1"/>
  <c r="M361" i="1"/>
  <c r="L361" i="1"/>
  <c r="K361" i="1"/>
  <c r="J361" i="1"/>
  <c r="I361" i="1"/>
  <c r="M360" i="1"/>
  <c r="L360" i="1"/>
  <c r="K360" i="1"/>
  <c r="J360" i="1"/>
  <c r="I360" i="1"/>
  <c r="M359" i="1"/>
  <c r="L359" i="1"/>
  <c r="K359" i="1"/>
  <c r="J359" i="1"/>
  <c r="I359" i="1"/>
  <c r="M358" i="1"/>
  <c r="L358" i="1"/>
  <c r="K358" i="1"/>
  <c r="J358" i="1"/>
  <c r="I358" i="1"/>
  <c r="M357" i="1"/>
  <c r="L357" i="1"/>
  <c r="K357" i="1"/>
  <c r="J357" i="1"/>
  <c r="I357" i="1"/>
  <c r="M356" i="1"/>
  <c r="L356" i="1"/>
  <c r="K356" i="1"/>
  <c r="J356" i="1"/>
  <c r="I356" i="1"/>
  <c r="M355" i="1"/>
  <c r="L355" i="1"/>
  <c r="K355" i="1"/>
  <c r="J355" i="1"/>
  <c r="I355" i="1"/>
  <c r="M354" i="1"/>
  <c r="L354" i="1"/>
  <c r="K354" i="1"/>
  <c r="J354" i="1"/>
  <c r="I354" i="1"/>
  <c r="M353" i="1"/>
  <c r="L353" i="1"/>
  <c r="K353" i="1"/>
  <c r="J353" i="1"/>
  <c r="I353" i="1"/>
  <c r="M352" i="1"/>
  <c r="L352" i="1"/>
  <c r="K352" i="1"/>
  <c r="J352" i="1"/>
  <c r="I352" i="1"/>
  <c r="M351" i="1"/>
  <c r="L351" i="1"/>
  <c r="K351" i="1"/>
  <c r="J351" i="1"/>
  <c r="I351" i="1"/>
  <c r="M350" i="1"/>
  <c r="L350" i="1"/>
  <c r="K350" i="1"/>
  <c r="J350" i="1"/>
  <c r="I350" i="1"/>
  <c r="M349" i="1"/>
  <c r="L349" i="1"/>
  <c r="K349" i="1"/>
  <c r="J349" i="1"/>
  <c r="I349" i="1"/>
  <c r="M348" i="1"/>
  <c r="L348" i="1"/>
  <c r="K348" i="1"/>
  <c r="J348" i="1"/>
  <c r="I348" i="1"/>
  <c r="M347" i="1"/>
  <c r="L347" i="1"/>
  <c r="K347" i="1"/>
  <c r="J347" i="1"/>
  <c r="I347" i="1"/>
  <c r="M346" i="1"/>
  <c r="L346" i="1"/>
  <c r="K346" i="1"/>
  <c r="J346" i="1"/>
  <c r="I346" i="1"/>
  <c r="M345" i="1"/>
  <c r="L345" i="1"/>
  <c r="K345" i="1"/>
  <c r="J345" i="1"/>
  <c r="I345" i="1"/>
  <c r="M344" i="1"/>
  <c r="L344" i="1"/>
  <c r="K344" i="1"/>
  <c r="J344" i="1"/>
  <c r="I344" i="1"/>
  <c r="M343" i="1"/>
  <c r="L343" i="1"/>
  <c r="K343" i="1"/>
  <c r="J343" i="1"/>
  <c r="I343" i="1"/>
  <c r="M342" i="1"/>
  <c r="L342" i="1"/>
  <c r="K342" i="1"/>
  <c r="J342" i="1"/>
  <c r="I342" i="1"/>
  <c r="M341" i="1"/>
  <c r="L341" i="1"/>
  <c r="K341" i="1"/>
  <c r="J341" i="1"/>
  <c r="I341" i="1"/>
  <c r="M340" i="1"/>
  <c r="L340" i="1"/>
  <c r="K340" i="1"/>
  <c r="J340" i="1"/>
  <c r="I340" i="1"/>
  <c r="M339" i="1"/>
  <c r="L339" i="1"/>
  <c r="K339" i="1"/>
  <c r="J339" i="1"/>
  <c r="I339" i="1"/>
  <c r="M338" i="1"/>
  <c r="L338" i="1"/>
  <c r="K338" i="1"/>
  <c r="J338" i="1"/>
  <c r="I338" i="1"/>
  <c r="M337" i="1"/>
  <c r="L337" i="1"/>
  <c r="K337" i="1"/>
  <c r="J337" i="1"/>
  <c r="I337" i="1"/>
  <c r="M336" i="1"/>
  <c r="L336" i="1"/>
  <c r="K336" i="1"/>
  <c r="J336" i="1"/>
  <c r="I336" i="1"/>
  <c r="M335" i="1"/>
  <c r="L335" i="1"/>
  <c r="K335" i="1"/>
  <c r="J335" i="1"/>
  <c r="I335" i="1"/>
  <c r="M334" i="1"/>
  <c r="L334" i="1"/>
  <c r="K334" i="1"/>
  <c r="J334" i="1"/>
  <c r="I334" i="1"/>
  <c r="M333" i="1"/>
  <c r="L333" i="1"/>
  <c r="K333" i="1"/>
  <c r="J333" i="1"/>
  <c r="I333" i="1"/>
  <c r="M332" i="1"/>
  <c r="L332" i="1"/>
  <c r="K332" i="1"/>
  <c r="J332" i="1"/>
  <c r="I332" i="1"/>
  <c r="M331" i="1"/>
  <c r="L331" i="1"/>
  <c r="K331" i="1"/>
  <c r="J331" i="1"/>
  <c r="I331" i="1"/>
  <c r="M330" i="1"/>
  <c r="L330" i="1"/>
  <c r="K330" i="1"/>
  <c r="J330" i="1"/>
  <c r="I330" i="1"/>
  <c r="M329" i="1"/>
  <c r="L329" i="1"/>
  <c r="K329" i="1"/>
  <c r="J329" i="1"/>
  <c r="I329" i="1"/>
  <c r="M328" i="1"/>
  <c r="L328" i="1"/>
  <c r="K328" i="1"/>
  <c r="J328" i="1"/>
  <c r="I328" i="1"/>
  <c r="M327" i="1"/>
  <c r="L327" i="1"/>
  <c r="K327" i="1"/>
  <c r="J327" i="1"/>
  <c r="I327" i="1"/>
  <c r="M326" i="1"/>
  <c r="L326" i="1"/>
  <c r="K326" i="1"/>
  <c r="J326" i="1"/>
  <c r="I326" i="1"/>
  <c r="M325" i="1"/>
  <c r="L325" i="1"/>
  <c r="K325" i="1"/>
  <c r="J325" i="1"/>
  <c r="I325" i="1"/>
  <c r="M324" i="1"/>
  <c r="L324" i="1"/>
  <c r="K324" i="1"/>
  <c r="J324" i="1"/>
  <c r="I324" i="1"/>
  <c r="M323" i="1"/>
  <c r="L323" i="1"/>
  <c r="K323" i="1"/>
  <c r="J323" i="1"/>
  <c r="I323" i="1"/>
  <c r="M322" i="1"/>
  <c r="L322" i="1"/>
  <c r="K322" i="1"/>
  <c r="J322" i="1"/>
  <c r="I322" i="1"/>
  <c r="M321" i="1"/>
  <c r="L321" i="1"/>
  <c r="K321" i="1"/>
  <c r="J321" i="1"/>
  <c r="I321" i="1"/>
  <c r="M320" i="1"/>
  <c r="L320" i="1"/>
  <c r="K320" i="1"/>
  <c r="J320" i="1"/>
  <c r="I320" i="1"/>
  <c r="M319" i="1"/>
  <c r="L319" i="1"/>
  <c r="K319" i="1"/>
  <c r="J319" i="1"/>
  <c r="I319" i="1"/>
  <c r="M318" i="1"/>
  <c r="L318" i="1"/>
  <c r="K318" i="1"/>
  <c r="J318" i="1"/>
  <c r="I318" i="1"/>
  <c r="M317" i="1"/>
  <c r="L317" i="1"/>
  <c r="K317" i="1"/>
  <c r="J317" i="1"/>
  <c r="I317" i="1"/>
  <c r="M316" i="1"/>
  <c r="L316" i="1"/>
  <c r="K316" i="1"/>
  <c r="J316" i="1"/>
  <c r="I316" i="1"/>
  <c r="M315" i="1"/>
  <c r="L315" i="1"/>
  <c r="K315" i="1"/>
  <c r="J315" i="1"/>
  <c r="I315" i="1"/>
  <c r="M314" i="1"/>
  <c r="L314" i="1"/>
  <c r="K314" i="1"/>
  <c r="J314" i="1"/>
  <c r="I314" i="1"/>
  <c r="M313" i="1"/>
  <c r="L313" i="1"/>
  <c r="K313" i="1"/>
  <c r="J313" i="1"/>
  <c r="I313" i="1"/>
  <c r="M312" i="1"/>
  <c r="L312" i="1"/>
  <c r="K312" i="1"/>
  <c r="J312" i="1"/>
  <c r="I312" i="1"/>
  <c r="M311" i="1"/>
  <c r="L311" i="1"/>
  <c r="K311" i="1"/>
  <c r="J311" i="1"/>
  <c r="I311" i="1"/>
  <c r="M310" i="1"/>
  <c r="L310" i="1"/>
  <c r="K310" i="1"/>
  <c r="J310" i="1"/>
  <c r="I310" i="1"/>
  <c r="M309" i="1"/>
  <c r="L309" i="1"/>
  <c r="K309" i="1"/>
  <c r="J309" i="1"/>
  <c r="I309" i="1"/>
  <c r="M308" i="1"/>
  <c r="L308" i="1"/>
  <c r="K308" i="1"/>
  <c r="J308" i="1"/>
  <c r="I308" i="1"/>
  <c r="M307" i="1"/>
  <c r="L307" i="1"/>
  <c r="K307" i="1"/>
  <c r="J307" i="1"/>
  <c r="I307" i="1"/>
  <c r="M306" i="1"/>
  <c r="L306" i="1"/>
  <c r="K306" i="1"/>
  <c r="J306" i="1"/>
  <c r="I306" i="1"/>
  <c r="M305" i="1"/>
  <c r="L305" i="1"/>
  <c r="K305" i="1"/>
  <c r="J305" i="1"/>
  <c r="I305" i="1"/>
  <c r="M304" i="1"/>
  <c r="L304" i="1"/>
  <c r="K304" i="1"/>
  <c r="J304" i="1"/>
  <c r="I304" i="1"/>
  <c r="M303" i="1"/>
  <c r="L303" i="1"/>
  <c r="K303" i="1"/>
  <c r="J303" i="1"/>
  <c r="I303" i="1"/>
  <c r="M302" i="1"/>
  <c r="L302" i="1"/>
  <c r="K302" i="1"/>
  <c r="J302" i="1"/>
  <c r="I302" i="1"/>
  <c r="M301" i="1"/>
  <c r="L301" i="1"/>
  <c r="K301" i="1"/>
  <c r="J301" i="1"/>
  <c r="I301" i="1"/>
  <c r="M300" i="1"/>
  <c r="L300" i="1"/>
  <c r="K300" i="1"/>
  <c r="J300" i="1"/>
  <c r="I300" i="1"/>
  <c r="M299" i="1"/>
  <c r="L299" i="1"/>
  <c r="K299" i="1"/>
  <c r="J299" i="1"/>
  <c r="I299" i="1"/>
  <c r="M298" i="1"/>
  <c r="L298" i="1"/>
  <c r="K298" i="1"/>
  <c r="J298" i="1"/>
  <c r="I298" i="1"/>
  <c r="M297" i="1"/>
  <c r="L297" i="1"/>
  <c r="K297" i="1"/>
  <c r="J297" i="1"/>
  <c r="I297" i="1"/>
  <c r="M296" i="1"/>
  <c r="L296" i="1"/>
  <c r="K296" i="1"/>
  <c r="J296" i="1"/>
  <c r="I296" i="1"/>
  <c r="M295" i="1"/>
  <c r="L295" i="1"/>
  <c r="K295" i="1"/>
  <c r="J295" i="1"/>
  <c r="I295" i="1"/>
  <c r="M294" i="1"/>
  <c r="L294" i="1"/>
  <c r="K294" i="1"/>
  <c r="J294" i="1"/>
  <c r="I294" i="1"/>
  <c r="M293" i="1"/>
  <c r="L293" i="1"/>
  <c r="K293" i="1"/>
  <c r="J293" i="1"/>
  <c r="I293" i="1"/>
  <c r="M292" i="1"/>
  <c r="L292" i="1"/>
  <c r="K292" i="1"/>
  <c r="J292" i="1"/>
  <c r="I292" i="1"/>
  <c r="M291" i="1"/>
  <c r="L291" i="1"/>
  <c r="K291" i="1"/>
  <c r="J291" i="1"/>
  <c r="I291" i="1"/>
  <c r="M290" i="1"/>
  <c r="L290" i="1"/>
  <c r="K290" i="1"/>
  <c r="J290" i="1"/>
  <c r="I290" i="1"/>
  <c r="M289" i="1"/>
  <c r="L289" i="1"/>
  <c r="K289" i="1"/>
  <c r="J289" i="1"/>
  <c r="I289" i="1"/>
  <c r="M288" i="1"/>
  <c r="L288" i="1"/>
  <c r="K288" i="1"/>
  <c r="J288" i="1"/>
  <c r="I288" i="1"/>
  <c r="M287" i="1"/>
  <c r="L287" i="1"/>
  <c r="K287" i="1"/>
  <c r="J287" i="1"/>
  <c r="I287" i="1"/>
  <c r="M286" i="1"/>
  <c r="L286" i="1"/>
  <c r="K286" i="1"/>
  <c r="J286" i="1"/>
  <c r="I286" i="1"/>
  <c r="M285" i="1"/>
  <c r="L285" i="1"/>
  <c r="K285" i="1"/>
  <c r="J285" i="1"/>
  <c r="I285" i="1"/>
  <c r="M284" i="1"/>
  <c r="L284" i="1"/>
  <c r="K284" i="1"/>
  <c r="J284" i="1"/>
  <c r="I284" i="1"/>
  <c r="M283" i="1"/>
  <c r="L283" i="1"/>
  <c r="K283" i="1"/>
  <c r="J283" i="1"/>
  <c r="I283" i="1"/>
  <c r="M282" i="1"/>
  <c r="L282" i="1"/>
  <c r="K282" i="1"/>
  <c r="J282" i="1"/>
  <c r="I282" i="1"/>
  <c r="M281" i="1"/>
  <c r="L281" i="1"/>
  <c r="K281" i="1"/>
  <c r="J281" i="1"/>
  <c r="I281" i="1"/>
  <c r="M280" i="1"/>
  <c r="L280" i="1"/>
  <c r="K280" i="1"/>
  <c r="J280" i="1"/>
  <c r="I280" i="1"/>
  <c r="M279" i="1"/>
  <c r="L279" i="1"/>
  <c r="K279" i="1"/>
  <c r="J279" i="1"/>
  <c r="I279" i="1"/>
  <c r="M278" i="1"/>
  <c r="L278" i="1"/>
  <c r="K278" i="1"/>
  <c r="J278" i="1"/>
  <c r="I278" i="1"/>
  <c r="M277" i="1"/>
  <c r="L277" i="1"/>
  <c r="K277" i="1"/>
  <c r="J277" i="1"/>
  <c r="I277" i="1"/>
  <c r="M276" i="1"/>
  <c r="L276" i="1"/>
  <c r="K276" i="1"/>
  <c r="J276" i="1"/>
  <c r="I276" i="1"/>
  <c r="M275" i="1"/>
  <c r="L275" i="1"/>
  <c r="K275" i="1"/>
  <c r="J275" i="1"/>
  <c r="I275" i="1"/>
  <c r="M274" i="1"/>
  <c r="L274" i="1"/>
  <c r="K274" i="1"/>
  <c r="J274" i="1"/>
  <c r="I274" i="1"/>
  <c r="M273" i="1"/>
  <c r="L273" i="1"/>
  <c r="K273" i="1"/>
  <c r="J273" i="1"/>
  <c r="I273" i="1"/>
  <c r="M272" i="1"/>
  <c r="L272" i="1"/>
  <c r="K272" i="1"/>
  <c r="J272" i="1"/>
  <c r="I272" i="1"/>
  <c r="M271" i="1"/>
  <c r="L271" i="1"/>
  <c r="K271" i="1"/>
  <c r="J271" i="1"/>
  <c r="I271" i="1"/>
  <c r="M270" i="1"/>
  <c r="L270" i="1"/>
  <c r="K270" i="1"/>
  <c r="J270" i="1"/>
  <c r="I270" i="1"/>
  <c r="M269" i="1"/>
  <c r="L269" i="1"/>
  <c r="K269" i="1"/>
  <c r="J269" i="1"/>
  <c r="I269" i="1"/>
  <c r="M268" i="1"/>
  <c r="L268" i="1"/>
  <c r="K268" i="1"/>
  <c r="J268" i="1"/>
  <c r="I268" i="1"/>
  <c r="M267" i="1"/>
  <c r="L267" i="1"/>
  <c r="K267" i="1"/>
  <c r="J267" i="1"/>
  <c r="I267" i="1"/>
  <c r="M266" i="1"/>
  <c r="L266" i="1"/>
  <c r="K266" i="1"/>
  <c r="J266" i="1"/>
  <c r="I266" i="1"/>
  <c r="M265" i="1"/>
  <c r="L265" i="1"/>
  <c r="K265" i="1"/>
  <c r="J265" i="1"/>
  <c r="I265" i="1"/>
  <c r="M264" i="1"/>
  <c r="L264" i="1"/>
  <c r="K264" i="1"/>
  <c r="J264" i="1"/>
  <c r="I264" i="1"/>
  <c r="M263" i="1"/>
  <c r="L263" i="1"/>
  <c r="K263" i="1"/>
  <c r="J263" i="1"/>
  <c r="I263" i="1"/>
  <c r="M262" i="1"/>
  <c r="L262" i="1"/>
  <c r="K262" i="1"/>
  <c r="J262" i="1"/>
  <c r="I262" i="1"/>
  <c r="M261" i="1"/>
  <c r="L261" i="1"/>
  <c r="K261" i="1"/>
  <c r="J261" i="1"/>
  <c r="I261" i="1"/>
  <c r="M260" i="1"/>
  <c r="L260" i="1"/>
  <c r="K260" i="1"/>
  <c r="J260" i="1"/>
  <c r="I260" i="1"/>
  <c r="M259" i="1"/>
  <c r="L259" i="1"/>
  <c r="K259" i="1"/>
  <c r="J259" i="1"/>
  <c r="I259" i="1"/>
  <c r="M258" i="1"/>
  <c r="L258" i="1"/>
  <c r="K258" i="1"/>
  <c r="J258" i="1"/>
  <c r="I258" i="1"/>
  <c r="M257" i="1"/>
  <c r="L257" i="1"/>
  <c r="K257" i="1"/>
  <c r="J257" i="1"/>
  <c r="I257" i="1"/>
  <c r="M256" i="1"/>
  <c r="L256" i="1"/>
  <c r="K256" i="1"/>
  <c r="J256" i="1"/>
  <c r="I256" i="1"/>
  <c r="M255" i="1"/>
  <c r="L255" i="1"/>
  <c r="K255" i="1"/>
  <c r="J255" i="1"/>
  <c r="I255" i="1"/>
  <c r="M254" i="1"/>
  <c r="L254" i="1"/>
  <c r="K254" i="1"/>
  <c r="J254" i="1"/>
  <c r="I254" i="1"/>
  <c r="M253" i="1"/>
  <c r="L253" i="1"/>
  <c r="K253" i="1"/>
  <c r="J253" i="1"/>
  <c r="I253" i="1"/>
  <c r="M252" i="1"/>
  <c r="L252" i="1"/>
  <c r="K252" i="1"/>
  <c r="J252" i="1"/>
  <c r="I252" i="1"/>
  <c r="M251" i="1"/>
  <c r="L251" i="1"/>
  <c r="K251" i="1"/>
  <c r="J251" i="1"/>
  <c r="I251" i="1"/>
  <c r="M250" i="1"/>
  <c r="L250" i="1"/>
  <c r="K250" i="1"/>
  <c r="J250" i="1"/>
  <c r="I250" i="1"/>
  <c r="M249" i="1"/>
  <c r="L249" i="1"/>
  <c r="K249" i="1"/>
  <c r="J249" i="1"/>
  <c r="I249" i="1"/>
  <c r="M248" i="1"/>
  <c r="L248" i="1"/>
  <c r="K248" i="1"/>
  <c r="J248" i="1"/>
  <c r="I248" i="1"/>
  <c r="M247" i="1"/>
  <c r="L247" i="1"/>
  <c r="K247" i="1"/>
  <c r="J247" i="1"/>
  <c r="I247" i="1"/>
  <c r="M246" i="1"/>
  <c r="L246" i="1"/>
  <c r="K246" i="1"/>
  <c r="J246" i="1"/>
  <c r="I246" i="1"/>
  <c r="M245" i="1"/>
  <c r="L245" i="1"/>
  <c r="K245" i="1"/>
  <c r="J245" i="1"/>
  <c r="I245" i="1"/>
  <c r="M244" i="1"/>
  <c r="L244" i="1"/>
  <c r="K244" i="1"/>
  <c r="J244" i="1"/>
  <c r="I244" i="1"/>
  <c r="M243" i="1"/>
  <c r="L243" i="1"/>
  <c r="K243" i="1"/>
  <c r="J243" i="1"/>
  <c r="I243" i="1"/>
  <c r="M242" i="1"/>
  <c r="L242" i="1"/>
  <c r="K242" i="1"/>
  <c r="J242" i="1"/>
  <c r="I242" i="1"/>
  <c r="M241" i="1"/>
  <c r="L241" i="1"/>
  <c r="K241" i="1"/>
  <c r="J241" i="1"/>
  <c r="I241" i="1"/>
  <c r="M240" i="1"/>
  <c r="L240" i="1"/>
  <c r="K240" i="1"/>
  <c r="J240" i="1"/>
  <c r="I240" i="1"/>
  <c r="M239" i="1"/>
  <c r="L239" i="1"/>
  <c r="K239" i="1"/>
  <c r="J239" i="1"/>
  <c r="I239" i="1"/>
  <c r="M238" i="1"/>
  <c r="L238" i="1"/>
  <c r="K238" i="1"/>
  <c r="J238" i="1"/>
  <c r="I238" i="1"/>
  <c r="M237" i="1"/>
  <c r="L237" i="1"/>
  <c r="K237" i="1"/>
  <c r="J237" i="1"/>
  <c r="I237" i="1"/>
  <c r="M236" i="1"/>
  <c r="L236" i="1"/>
  <c r="K236" i="1"/>
  <c r="J236" i="1"/>
  <c r="I236" i="1"/>
  <c r="M235" i="1"/>
  <c r="L235" i="1"/>
  <c r="K235" i="1"/>
  <c r="J235" i="1"/>
  <c r="I235" i="1"/>
  <c r="M234" i="1"/>
  <c r="L234" i="1"/>
  <c r="K234" i="1"/>
  <c r="J234" i="1"/>
  <c r="I234" i="1"/>
  <c r="M233" i="1"/>
  <c r="L233" i="1"/>
  <c r="K233" i="1"/>
  <c r="J233" i="1"/>
  <c r="I233" i="1"/>
  <c r="M232" i="1"/>
  <c r="L232" i="1"/>
  <c r="K232" i="1"/>
  <c r="J232" i="1"/>
  <c r="I232" i="1"/>
  <c r="M231" i="1"/>
  <c r="L231" i="1"/>
  <c r="K231" i="1"/>
  <c r="J231" i="1"/>
  <c r="I231" i="1"/>
  <c r="M230" i="1"/>
  <c r="L230" i="1"/>
  <c r="K230" i="1"/>
  <c r="J230" i="1"/>
  <c r="I230" i="1"/>
  <c r="M229" i="1"/>
  <c r="L229" i="1"/>
  <c r="K229" i="1"/>
  <c r="J229" i="1"/>
  <c r="I229" i="1"/>
  <c r="M228" i="1"/>
  <c r="L228" i="1"/>
  <c r="K228" i="1"/>
  <c r="J228" i="1"/>
  <c r="I228" i="1"/>
  <c r="M227" i="1"/>
  <c r="L227" i="1"/>
  <c r="K227" i="1"/>
  <c r="J227" i="1"/>
  <c r="I227" i="1"/>
  <c r="M226" i="1"/>
  <c r="L226" i="1"/>
  <c r="K226" i="1"/>
  <c r="J226" i="1"/>
  <c r="I226" i="1"/>
  <c r="M225" i="1"/>
  <c r="L225" i="1"/>
  <c r="K225" i="1"/>
  <c r="J225" i="1"/>
  <c r="I225" i="1"/>
  <c r="M224" i="1"/>
  <c r="L224" i="1"/>
  <c r="K224" i="1"/>
  <c r="J224" i="1"/>
  <c r="I224" i="1"/>
  <c r="M223" i="1"/>
  <c r="L223" i="1"/>
  <c r="K223" i="1"/>
  <c r="J223" i="1"/>
  <c r="I223" i="1"/>
  <c r="M222" i="1"/>
  <c r="L222" i="1"/>
  <c r="K222" i="1"/>
  <c r="J222" i="1"/>
  <c r="I222" i="1"/>
  <c r="M221" i="1"/>
  <c r="L221" i="1"/>
  <c r="K221" i="1"/>
  <c r="J221" i="1"/>
  <c r="I221" i="1"/>
  <c r="M220" i="1"/>
  <c r="L220" i="1"/>
  <c r="K220" i="1"/>
  <c r="J220" i="1"/>
  <c r="I220" i="1"/>
  <c r="M219" i="1"/>
  <c r="L219" i="1"/>
  <c r="K219" i="1"/>
  <c r="J219" i="1"/>
  <c r="I219" i="1"/>
  <c r="M218" i="1"/>
  <c r="L218" i="1"/>
  <c r="K218" i="1"/>
  <c r="J218" i="1"/>
  <c r="I218" i="1"/>
  <c r="M217" i="1"/>
  <c r="L217" i="1"/>
  <c r="K217" i="1"/>
  <c r="J217" i="1"/>
  <c r="I217" i="1"/>
  <c r="M216" i="1"/>
  <c r="L216" i="1"/>
  <c r="K216" i="1"/>
  <c r="J216" i="1"/>
  <c r="I216" i="1"/>
  <c r="M215" i="1"/>
  <c r="L215" i="1"/>
  <c r="K215" i="1"/>
  <c r="J215" i="1"/>
  <c r="I215" i="1"/>
  <c r="M214" i="1"/>
  <c r="L214" i="1"/>
  <c r="K214" i="1"/>
  <c r="J214" i="1"/>
  <c r="I214" i="1"/>
  <c r="M213" i="1"/>
  <c r="L213" i="1"/>
  <c r="K213" i="1"/>
  <c r="J213" i="1"/>
  <c r="I213" i="1"/>
  <c r="M212" i="1"/>
  <c r="L212" i="1"/>
  <c r="K212" i="1"/>
  <c r="J212" i="1"/>
  <c r="I212" i="1"/>
  <c r="M211" i="1"/>
  <c r="L211" i="1"/>
  <c r="K211" i="1"/>
  <c r="J211" i="1"/>
  <c r="I211" i="1"/>
  <c r="M210" i="1"/>
  <c r="L210" i="1"/>
  <c r="K210" i="1"/>
  <c r="J210" i="1"/>
  <c r="I210" i="1"/>
  <c r="M209" i="1"/>
  <c r="L209" i="1"/>
  <c r="K209" i="1"/>
  <c r="J209" i="1"/>
  <c r="I209" i="1"/>
  <c r="M208" i="1"/>
  <c r="L208" i="1"/>
  <c r="K208" i="1"/>
  <c r="J208" i="1"/>
  <c r="I208" i="1"/>
  <c r="M207" i="1"/>
  <c r="L207" i="1"/>
  <c r="K207" i="1"/>
  <c r="J207" i="1"/>
  <c r="I207" i="1"/>
  <c r="M206" i="1"/>
  <c r="L206" i="1"/>
  <c r="K206" i="1"/>
  <c r="J206" i="1"/>
  <c r="I206" i="1"/>
  <c r="M205" i="1"/>
  <c r="L205" i="1"/>
  <c r="K205" i="1"/>
  <c r="J205" i="1"/>
  <c r="I205" i="1"/>
  <c r="M204" i="1"/>
  <c r="L204" i="1"/>
  <c r="K204" i="1"/>
  <c r="J204" i="1"/>
  <c r="I204" i="1"/>
  <c r="M203" i="1"/>
  <c r="L203" i="1"/>
  <c r="K203" i="1"/>
  <c r="J203" i="1"/>
  <c r="I203" i="1"/>
  <c r="M202" i="1"/>
  <c r="L202" i="1"/>
  <c r="K202" i="1"/>
  <c r="J202" i="1"/>
  <c r="I202" i="1"/>
  <c r="M201" i="1"/>
  <c r="L201" i="1"/>
  <c r="K201" i="1"/>
  <c r="J201" i="1"/>
  <c r="I201" i="1"/>
  <c r="M200" i="1"/>
  <c r="L200" i="1"/>
  <c r="K200" i="1"/>
  <c r="J200" i="1"/>
  <c r="I200" i="1"/>
  <c r="M199" i="1"/>
  <c r="L199" i="1"/>
  <c r="K199" i="1"/>
  <c r="J199" i="1"/>
  <c r="I199" i="1"/>
  <c r="M198" i="1"/>
  <c r="L198" i="1"/>
  <c r="K198" i="1"/>
  <c r="J198" i="1"/>
  <c r="I198" i="1"/>
  <c r="M197" i="1"/>
  <c r="L197" i="1"/>
  <c r="K197" i="1"/>
  <c r="J197" i="1"/>
  <c r="I197" i="1"/>
  <c r="M196" i="1"/>
  <c r="L196" i="1"/>
  <c r="K196" i="1"/>
  <c r="J196" i="1"/>
  <c r="I196" i="1"/>
  <c r="M195" i="1"/>
  <c r="L195" i="1"/>
  <c r="K195" i="1"/>
  <c r="J195" i="1"/>
  <c r="I195" i="1"/>
  <c r="M194" i="1"/>
  <c r="L194" i="1"/>
  <c r="K194" i="1"/>
  <c r="J194" i="1"/>
  <c r="I194" i="1"/>
  <c r="M193" i="1"/>
  <c r="L193" i="1"/>
  <c r="K193" i="1"/>
  <c r="J193" i="1"/>
  <c r="I193" i="1"/>
  <c r="M192" i="1"/>
  <c r="L192" i="1"/>
  <c r="K192" i="1"/>
  <c r="J192" i="1"/>
  <c r="I192" i="1"/>
  <c r="M191" i="1"/>
  <c r="L191" i="1"/>
  <c r="K191" i="1"/>
  <c r="J191" i="1"/>
  <c r="I191" i="1"/>
  <c r="M190" i="1"/>
  <c r="L190" i="1"/>
  <c r="K190" i="1"/>
  <c r="J190" i="1"/>
  <c r="I190" i="1"/>
  <c r="M189" i="1"/>
  <c r="L189" i="1"/>
  <c r="K189" i="1"/>
  <c r="J189" i="1"/>
  <c r="I189" i="1"/>
  <c r="M188" i="1"/>
  <c r="L188" i="1"/>
  <c r="K188" i="1"/>
  <c r="J188" i="1"/>
  <c r="I188" i="1"/>
  <c r="M187" i="1"/>
  <c r="L187" i="1"/>
  <c r="K187" i="1"/>
  <c r="J187" i="1"/>
  <c r="I187" i="1"/>
  <c r="M186" i="1"/>
  <c r="L186" i="1"/>
  <c r="K186" i="1"/>
  <c r="J186" i="1"/>
  <c r="I186" i="1"/>
  <c r="M185" i="1"/>
  <c r="L185" i="1"/>
  <c r="K185" i="1"/>
  <c r="J185" i="1"/>
  <c r="I185" i="1"/>
  <c r="M184" i="1"/>
  <c r="L184" i="1"/>
  <c r="K184" i="1"/>
  <c r="J184" i="1"/>
  <c r="I184" i="1"/>
  <c r="M183" i="1"/>
  <c r="L183" i="1"/>
  <c r="K183" i="1"/>
  <c r="J183" i="1"/>
  <c r="I183" i="1"/>
  <c r="M182" i="1"/>
  <c r="L182" i="1"/>
  <c r="K182" i="1"/>
  <c r="J182" i="1"/>
  <c r="I182" i="1"/>
  <c r="M181" i="1"/>
  <c r="L181" i="1"/>
  <c r="K181" i="1"/>
  <c r="J181" i="1"/>
  <c r="I181" i="1"/>
  <c r="M180" i="1"/>
  <c r="L180" i="1"/>
  <c r="K180" i="1"/>
  <c r="J180" i="1"/>
  <c r="I180" i="1"/>
  <c r="M179" i="1"/>
  <c r="L179" i="1"/>
  <c r="K179" i="1"/>
  <c r="J179" i="1"/>
  <c r="I179" i="1"/>
  <c r="M178" i="1"/>
  <c r="L178" i="1"/>
  <c r="K178" i="1"/>
  <c r="J178" i="1"/>
  <c r="I178" i="1"/>
  <c r="M177" i="1"/>
  <c r="L177" i="1"/>
  <c r="K177" i="1"/>
  <c r="J177" i="1"/>
  <c r="I177" i="1"/>
  <c r="M176" i="1"/>
  <c r="L176" i="1"/>
  <c r="K176" i="1"/>
  <c r="J176" i="1"/>
  <c r="I176" i="1"/>
  <c r="M175" i="1"/>
  <c r="L175" i="1"/>
  <c r="K175" i="1"/>
  <c r="J175" i="1"/>
  <c r="I175" i="1"/>
  <c r="M174" i="1"/>
  <c r="L174" i="1"/>
  <c r="K174" i="1"/>
  <c r="J174" i="1"/>
  <c r="I174" i="1"/>
  <c r="M173" i="1"/>
  <c r="L173" i="1"/>
  <c r="K173" i="1"/>
  <c r="J173" i="1"/>
  <c r="I173" i="1"/>
  <c r="M172" i="1"/>
  <c r="L172" i="1"/>
  <c r="K172" i="1"/>
  <c r="J172" i="1"/>
  <c r="I172" i="1"/>
  <c r="M171" i="1"/>
  <c r="L171" i="1"/>
  <c r="K171" i="1"/>
  <c r="J171" i="1"/>
  <c r="I171" i="1"/>
  <c r="M170" i="1"/>
  <c r="L170" i="1"/>
  <c r="K170" i="1"/>
  <c r="J170" i="1"/>
  <c r="I170" i="1"/>
  <c r="M169" i="1"/>
  <c r="L169" i="1"/>
  <c r="K169" i="1"/>
  <c r="J169" i="1"/>
  <c r="I169" i="1"/>
  <c r="M168" i="1"/>
  <c r="L168" i="1"/>
  <c r="K168" i="1"/>
  <c r="J168" i="1"/>
  <c r="I168" i="1"/>
  <c r="M167" i="1"/>
  <c r="L167" i="1"/>
  <c r="K167" i="1"/>
  <c r="J167" i="1"/>
  <c r="I167" i="1"/>
  <c r="M166" i="1"/>
  <c r="L166" i="1"/>
  <c r="K166" i="1"/>
  <c r="J166" i="1"/>
  <c r="I166" i="1"/>
  <c r="M165" i="1"/>
  <c r="L165" i="1"/>
  <c r="K165" i="1"/>
  <c r="J165" i="1"/>
  <c r="I165" i="1"/>
  <c r="M164" i="1"/>
  <c r="L164" i="1"/>
  <c r="K164" i="1"/>
  <c r="J164" i="1"/>
  <c r="I164" i="1"/>
  <c r="M163" i="1"/>
  <c r="L163" i="1"/>
  <c r="K163" i="1"/>
  <c r="J163" i="1"/>
  <c r="I163" i="1"/>
  <c r="M162" i="1"/>
  <c r="L162" i="1"/>
  <c r="K162" i="1"/>
  <c r="J162" i="1"/>
  <c r="I162" i="1"/>
  <c r="M161" i="1"/>
  <c r="L161" i="1"/>
  <c r="K161" i="1"/>
  <c r="J161" i="1"/>
  <c r="I161" i="1"/>
  <c r="M160" i="1"/>
  <c r="L160" i="1"/>
  <c r="K160" i="1"/>
  <c r="J160" i="1"/>
  <c r="I160" i="1"/>
  <c r="M159" i="1"/>
  <c r="L159" i="1"/>
  <c r="K159" i="1"/>
  <c r="J159" i="1"/>
  <c r="I159" i="1"/>
  <c r="M158" i="1"/>
  <c r="L158" i="1"/>
  <c r="K158" i="1"/>
  <c r="J158" i="1"/>
  <c r="I158" i="1"/>
  <c r="M157" i="1"/>
  <c r="L157" i="1"/>
  <c r="K157" i="1"/>
  <c r="J157" i="1"/>
  <c r="I157" i="1"/>
  <c r="M156" i="1"/>
  <c r="L156" i="1"/>
  <c r="K156" i="1"/>
  <c r="J156" i="1"/>
  <c r="I156" i="1"/>
  <c r="M155" i="1"/>
  <c r="L155" i="1"/>
  <c r="K155" i="1"/>
  <c r="J155" i="1"/>
  <c r="I155" i="1"/>
  <c r="M154" i="1"/>
  <c r="L154" i="1"/>
  <c r="K154" i="1"/>
  <c r="J154" i="1"/>
  <c r="I154" i="1"/>
  <c r="M153" i="1"/>
  <c r="L153" i="1"/>
  <c r="K153" i="1"/>
  <c r="J153" i="1"/>
  <c r="I153" i="1"/>
  <c r="M152" i="1"/>
  <c r="L152" i="1"/>
  <c r="K152" i="1"/>
  <c r="J152" i="1"/>
  <c r="I152" i="1"/>
  <c r="M151" i="1"/>
  <c r="L151" i="1"/>
  <c r="K151" i="1"/>
  <c r="J151" i="1"/>
  <c r="I151" i="1"/>
  <c r="M150" i="1"/>
  <c r="L150" i="1"/>
  <c r="K150" i="1"/>
  <c r="J150" i="1"/>
  <c r="I150" i="1"/>
  <c r="M149" i="1"/>
  <c r="L149" i="1"/>
  <c r="K149" i="1"/>
  <c r="J149" i="1"/>
  <c r="I149" i="1"/>
  <c r="M148" i="1"/>
  <c r="L148" i="1"/>
  <c r="K148" i="1"/>
  <c r="J148" i="1"/>
  <c r="I148" i="1"/>
  <c r="M147" i="1"/>
  <c r="L147" i="1"/>
  <c r="K147" i="1"/>
  <c r="J147" i="1"/>
  <c r="I147" i="1"/>
  <c r="M146" i="1"/>
  <c r="L146" i="1"/>
  <c r="K146" i="1"/>
  <c r="J146" i="1"/>
  <c r="I146" i="1"/>
  <c r="M145" i="1"/>
  <c r="L145" i="1"/>
  <c r="K145" i="1"/>
  <c r="J145" i="1"/>
  <c r="I145" i="1"/>
  <c r="M144" i="1"/>
  <c r="L144" i="1"/>
  <c r="K144" i="1"/>
  <c r="J144" i="1"/>
  <c r="I144" i="1"/>
  <c r="M143" i="1"/>
  <c r="L143" i="1"/>
  <c r="K143" i="1"/>
  <c r="J143" i="1"/>
  <c r="I143" i="1"/>
  <c r="M142" i="1"/>
  <c r="L142" i="1"/>
  <c r="K142" i="1"/>
  <c r="J142" i="1"/>
  <c r="I142" i="1"/>
  <c r="M141" i="1"/>
  <c r="L141" i="1"/>
  <c r="K141" i="1"/>
  <c r="J141" i="1"/>
  <c r="I141" i="1"/>
  <c r="M140" i="1"/>
  <c r="L140" i="1"/>
  <c r="K140" i="1"/>
  <c r="J140" i="1"/>
  <c r="I140" i="1"/>
  <c r="M139" i="1"/>
  <c r="L139" i="1"/>
  <c r="K139" i="1"/>
  <c r="J139" i="1"/>
  <c r="I139" i="1"/>
  <c r="M138" i="1"/>
  <c r="L138" i="1"/>
  <c r="K138" i="1"/>
  <c r="J138" i="1"/>
  <c r="I138" i="1"/>
  <c r="M137" i="1"/>
  <c r="L137" i="1"/>
  <c r="K137" i="1"/>
  <c r="J137" i="1"/>
  <c r="I137" i="1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M84" i="1"/>
  <c r="L84" i="1"/>
  <c r="K84" i="1"/>
  <c r="J84" i="1"/>
  <c r="I84" i="1"/>
  <c r="M83" i="1"/>
  <c r="L83" i="1"/>
  <c r="K83" i="1"/>
  <c r="J83" i="1"/>
  <c r="I83" i="1"/>
  <c r="M82" i="1"/>
  <c r="L82" i="1"/>
  <c r="K82" i="1"/>
  <c r="J82" i="1"/>
  <c r="I82" i="1"/>
  <c r="M81" i="1"/>
  <c r="L81" i="1"/>
  <c r="K81" i="1"/>
  <c r="J81" i="1"/>
  <c r="I81" i="1"/>
  <c r="M80" i="1"/>
  <c r="L80" i="1"/>
  <c r="K80" i="1"/>
  <c r="J80" i="1"/>
  <c r="I80" i="1"/>
  <c r="M79" i="1"/>
  <c r="L79" i="1"/>
  <c r="K79" i="1"/>
  <c r="J79" i="1"/>
  <c r="I79" i="1"/>
  <c r="M78" i="1"/>
  <c r="L78" i="1"/>
  <c r="K78" i="1"/>
  <c r="J78" i="1"/>
  <c r="I78" i="1"/>
  <c r="M77" i="1"/>
  <c r="L77" i="1"/>
  <c r="K77" i="1"/>
  <c r="J77" i="1"/>
  <c r="I77" i="1"/>
  <c r="M76" i="1"/>
  <c r="L76" i="1"/>
  <c r="K76" i="1"/>
  <c r="J76" i="1"/>
  <c r="I76" i="1"/>
  <c r="M75" i="1"/>
  <c r="L75" i="1"/>
  <c r="K75" i="1"/>
  <c r="J75" i="1"/>
  <c r="I75" i="1"/>
  <c r="M74" i="1"/>
  <c r="L74" i="1"/>
  <c r="K74" i="1"/>
  <c r="J74" i="1"/>
  <c r="I74" i="1"/>
  <c r="M73" i="1"/>
  <c r="L73" i="1"/>
  <c r="K73" i="1"/>
  <c r="J73" i="1"/>
  <c r="I73" i="1"/>
  <c r="M72" i="1"/>
  <c r="L72" i="1"/>
  <c r="K72" i="1"/>
  <c r="J72" i="1"/>
  <c r="I72" i="1"/>
  <c r="M71" i="1"/>
  <c r="L71" i="1"/>
  <c r="K71" i="1"/>
  <c r="J71" i="1"/>
  <c r="I71" i="1"/>
  <c r="M70" i="1"/>
  <c r="L70" i="1"/>
  <c r="K70" i="1"/>
  <c r="J70" i="1"/>
  <c r="I70" i="1"/>
  <c r="M69" i="1"/>
  <c r="L69" i="1"/>
  <c r="K69" i="1"/>
  <c r="J69" i="1"/>
  <c r="I69" i="1"/>
  <c r="M68" i="1"/>
  <c r="L68" i="1"/>
  <c r="K68" i="1"/>
  <c r="J68" i="1"/>
  <c r="I68" i="1"/>
  <c r="M67" i="1"/>
  <c r="L67" i="1"/>
  <c r="K67" i="1"/>
  <c r="J67" i="1"/>
  <c r="I67" i="1"/>
  <c r="M66" i="1"/>
  <c r="L66" i="1"/>
  <c r="K66" i="1"/>
  <c r="J66" i="1"/>
  <c r="I66" i="1"/>
  <c r="M65" i="1"/>
  <c r="L65" i="1"/>
  <c r="K65" i="1"/>
  <c r="J65" i="1"/>
  <c r="I65" i="1"/>
  <c r="M64" i="1"/>
  <c r="L64" i="1"/>
  <c r="K64" i="1"/>
  <c r="J64" i="1"/>
  <c r="I64" i="1"/>
  <c r="M63" i="1"/>
  <c r="L63" i="1"/>
  <c r="K63" i="1"/>
  <c r="J63" i="1"/>
  <c r="I63" i="1"/>
  <c r="M62" i="1"/>
  <c r="L62" i="1"/>
  <c r="K62" i="1"/>
  <c r="J62" i="1"/>
  <c r="I62" i="1"/>
  <c r="M61" i="1"/>
  <c r="L61" i="1"/>
  <c r="K61" i="1"/>
  <c r="J61" i="1"/>
  <c r="I61" i="1"/>
  <c r="M60" i="1"/>
  <c r="L60" i="1"/>
  <c r="K60" i="1"/>
  <c r="J60" i="1"/>
  <c r="I60" i="1"/>
  <c r="M59" i="1"/>
  <c r="L59" i="1"/>
  <c r="K59" i="1"/>
  <c r="J59" i="1"/>
  <c r="I59" i="1"/>
  <c r="M58" i="1"/>
  <c r="L58" i="1"/>
  <c r="K58" i="1"/>
  <c r="J58" i="1"/>
  <c r="I58" i="1"/>
  <c r="M57" i="1"/>
  <c r="L57" i="1"/>
  <c r="K57" i="1"/>
  <c r="J57" i="1"/>
  <c r="I57" i="1"/>
  <c r="M56" i="1"/>
  <c r="L56" i="1"/>
  <c r="K56" i="1"/>
  <c r="J56" i="1"/>
  <c r="I56" i="1"/>
  <c r="M55" i="1"/>
  <c r="L55" i="1"/>
  <c r="K55" i="1"/>
  <c r="J55" i="1"/>
  <c r="I55" i="1"/>
  <c r="M54" i="1"/>
  <c r="L54" i="1"/>
  <c r="K54" i="1"/>
  <c r="J54" i="1"/>
  <c r="I54" i="1"/>
  <c r="M53" i="1"/>
  <c r="L53" i="1"/>
  <c r="K53" i="1"/>
  <c r="J53" i="1"/>
  <c r="I53" i="1"/>
  <c r="M52" i="1"/>
  <c r="L52" i="1"/>
  <c r="K52" i="1"/>
  <c r="J52" i="1"/>
  <c r="I52" i="1"/>
  <c r="M51" i="1"/>
  <c r="L51" i="1"/>
  <c r="K51" i="1"/>
  <c r="J51" i="1"/>
  <c r="I51" i="1"/>
  <c r="M50" i="1"/>
  <c r="L50" i="1"/>
  <c r="K50" i="1"/>
  <c r="J50" i="1"/>
  <c r="I50" i="1"/>
  <c r="M49" i="1"/>
  <c r="L49" i="1"/>
  <c r="K49" i="1"/>
  <c r="J49" i="1"/>
  <c r="I49" i="1"/>
  <c r="M48" i="1"/>
  <c r="L48" i="1"/>
  <c r="K48" i="1"/>
  <c r="J48" i="1"/>
  <c r="I48" i="1"/>
  <c r="M47" i="1"/>
  <c r="L47" i="1"/>
  <c r="K47" i="1"/>
  <c r="J47" i="1"/>
  <c r="I47" i="1"/>
  <c r="M46" i="1"/>
  <c r="L46" i="1"/>
  <c r="K46" i="1"/>
  <c r="J46" i="1"/>
  <c r="I46" i="1"/>
  <c r="M45" i="1"/>
  <c r="L45" i="1"/>
  <c r="K45" i="1"/>
  <c r="J45" i="1"/>
  <c r="I45" i="1"/>
  <c r="M44" i="1"/>
  <c r="L44" i="1"/>
  <c r="K44" i="1"/>
  <c r="J44" i="1"/>
  <c r="I44" i="1"/>
  <c r="M43" i="1"/>
  <c r="L43" i="1"/>
  <c r="K43" i="1"/>
  <c r="J43" i="1"/>
  <c r="I43" i="1"/>
  <c r="M42" i="1"/>
  <c r="L42" i="1"/>
  <c r="K42" i="1"/>
  <c r="J42" i="1"/>
  <c r="I42" i="1"/>
  <c r="M41" i="1"/>
  <c r="L41" i="1"/>
  <c r="K41" i="1"/>
  <c r="J41" i="1"/>
  <c r="I41" i="1"/>
  <c r="M40" i="1"/>
  <c r="L40" i="1"/>
  <c r="K40" i="1"/>
  <c r="J40" i="1"/>
  <c r="I40" i="1"/>
  <c r="M39" i="1"/>
  <c r="L39" i="1"/>
  <c r="K39" i="1"/>
  <c r="J39" i="1"/>
  <c r="I39" i="1"/>
  <c r="M38" i="1"/>
  <c r="L38" i="1"/>
  <c r="K38" i="1"/>
  <c r="J38" i="1"/>
  <c r="I38" i="1"/>
  <c r="M37" i="1"/>
  <c r="L37" i="1"/>
  <c r="K37" i="1"/>
  <c r="J37" i="1"/>
  <c r="I37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L22" i="1"/>
  <c r="K22" i="1"/>
  <c r="J22" i="1"/>
  <c r="I22" i="1"/>
  <c r="M21" i="1"/>
  <c r="L21" i="1"/>
  <c r="K21" i="1"/>
  <c r="J21" i="1"/>
  <c r="I21" i="1"/>
  <c r="M20" i="1"/>
  <c r="L20" i="1"/>
  <c r="K20" i="1"/>
  <c r="J20" i="1"/>
  <c r="I20" i="1"/>
  <c r="M19" i="1"/>
  <c r="L19" i="1"/>
  <c r="K19" i="1"/>
  <c r="J19" i="1"/>
  <c r="I19" i="1"/>
  <c r="M18" i="1"/>
  <c r="L18" i="1"/>
  <c r="K18" i="1"/>
  <c r="J18" i="1"/>
  <c r="I18" i="1"/>
  <c r="M17" i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M8" i="1"/>
  <c r="L8" i="1"/>
  <c r="K8" i="1"/>
  <c r="J8" i="1"/>
  <c r="I8" i="1"/>
  <c r="M7" i="1"/>
  <c r="L7" i="1"/>
  <c r="K7" i="1"/>
  <c r="J7" i="1"/>
  <c r="I7" i="1"/>
  <c r="M3" i="1" l="1"/>
  <c r="L3" i="1"/>
  <c r="K3" i="1"/>
  <c r="J3" i="1"/>
  <c r="I3" i="1"/>
  <c r="I2" i="1"/>
  <c r="G386" i="1" l="1"/>
  <c r="G506" i="1"/>
  <c r="G505" i="1"/>
  <c r="G504" i="1"/>
  <c r="G86" i="1"/>
  <c r="G279" i="1" l="1"/>
  <c r="G93" i="1"/>
  <c r="V3" i="1" l="1"/>
  <c r="R3" i="1"/>
  <c r="M2" i="1"/>
  <c r="L2" i="1"/>
  <c r="K2" i="1"/>
  <c r="V2" i="1" s="1"/>
  <c r="J2" i="1"/>
  <c r="R2" i="1" s="1"/>
  <c r="AC3" i="1"/>
  <c r="AB3" i="1"/>
  <c r="AA3" i="1"/>
  <c r="Z3" i="1"/>
  <c r="G278" i="1"/>
  <c r="G132" i="1"/>
  <c r="G137" i="1"/>
  <c r="G130" i="1"/>
  <c r="G109" i="1"/>
  <c r="G104" i="1"/>
  <c r="G98" i="1"/>
  <c r="G94" i="1"/>
  <c r="G499" i="1"/>
  <c r="G281" i="1"/>
  <c r="G283" i="1"/>
  <c r="G140" i="1"/>
  <c r="G141" i="1"/>
  <c r="G168" i="1"/>
  <c r="G208" i="1"/>
  <c r="G412" i="1"/>
  <c r="G219" i="1"/>
  <c r="G74" i="1"/>
  <c r="G288" i="1"/>
  <c r="G73" i="1"/>
  <c r="G458" i="1"/>
  <c r="G423" i="1"/>
  <c r="G82" i="1"/>
  <c r="G462" i="1"/>
  <c r="G455" i="1"/>
  <c r="G66" i="1"/>
  <c r="G424" i="1"/>
  <c r="G112" i="1"/>
  <c r="G266" i="1" l="1"/>
  <c r="G249" i="1"/>
  <c r="G221" i="1"/>
  <c r="G286" i="1"/>
  <c r="G475" i="1"/>
  <c r="G477" i="1"/>
  <c r="G25" i="1"/>
  <c r="G482" i="1"/>
  <c r="G450" i="1"/>
  <c r="G470" i="1"/>
  <c r="G401" i="1"/>
  <c r="G452" i="1"/>
  <c r="G21" i="1"/>
  <c r="G460" i="1"/>
  <c r="G225" i="1"/>
  <c r="G227" i="1"/>
  <c r="G205" i="1"/>
  <c r="G437" i="1"/>
  <c r="G181" i="1"/>
  <c r="G399" i="1"/>
  <c r="G186" i="1"/>
  <c r="G166" i="1"/>
  <c r="G185" i="1"/>
  <c r="G440" i="1"/>
  <c r="G321" i="1"/>
  <c r="G226" i="1"/>
  <c r="G242" i="1"/>
  <c r="G244" i="1"/>
  <c r="G439" i="1"/>
  <c r="G142" i="1"/>
  <c r="G30" i="1"/>
  <c r="G179" i="1"/>
  <c r="G487" i="1"/>
  <c r="G343" i="1"/>
  <c r="G170" i="1"/>
  <c r="G328" i="1"/>
  <c r="G318" i="1"/>
  <c r="G496" i="1"/>
  <c r="G331" i="1"/>
  <c r="G19" i="1"/>
  <c r="G13" i="1"/>
  <c r="G502" i="1"/>
  <c r="G369" i="1"/>
  <c r="G201" i="1"/>
  <c r="G469" i="1"/>
  <c r="G479" i="1"/>
  <c r="G405" i="1"/>
  <c r="G346" i="1"/>
  <c r="G32" i="1"/>
  <c r="G150" i="1"/>
  <c r="G184" i="1"/>
  <c r="G338" i="1"/>
  <c r="G304" i="1"/>
  <c r="G488" i="1"/>
  <c r="G357" i="1"/>
  <c r="G380" i="1"/>
  <c r="G426" i="1"/>
  <c r="G429" i="1"/>
  <c r="G301" i="1"/>
  <c r="G365" i="1"/>
  <c r="G246" i="1"/>
  <c r="G116" i="1"/>
  <c r="G123" i="1"/>
  <c r="G345" i="1"/>
  <c r="G297" i="1"/>
  <c r="G110" i="1"/>
  <c r="G319" i="1"/>
  <c r="G267" i="1"/>
  <c r="G269" i="1"/>
  <c r="G59" i="1"/>
  <c r="G65" i="1"/>
  <c r="G56" i="1"/>
  <c r="G363" i="1"/>
  <c r="G378" i="1"/>
  <c r="G370" i="1"/>
  <c r="G392" i="1"/>
  <c r="G262" i="1"/>
  <c r="G113" i="1"/>
  <c r="G308" i="1"/>
  <c r="G211" i="1"/>
  <c r="G214" i="1"/>
  <c r="G231" i="1"/>
  <c r="G157" i="1"/>
  <c r="G327" i="1"/>
  <c r="G468" i="1"/>
  <c r="G53" i="1"/>
  <c r="G374" i="1"/>
  <c r="G118" i="1"/>
  <c r="G126" i="1"/>
  <c r="G68" i="1"/>
  <c r="G138" i="1"/>
  <c r="G261" i="1"/>
  <c r="G456" i="1"/>
  <c r="G420" i="1"/>
  <c r="G391" i="1"/>
  <c r="G484" i="1"/>
  <c r="G192" i="1"/>
  <c r="G178" i="1"/>
  <c r="G313" i="1"/>
  <c r="G342" i="1"/>
  <c r="G493" i="1"/>
  <c r="G349" i="1"/>
  <c r="G31" i="1"/>
  <c r="G317" i="1"/>
  <c r="G335" i="1"/>
  <c r="G354" i="1"/>
  <c r="G28" i="1"/>
  <c r="G359" i="1"/>
  <c r="G277" i="1"/>
  <c r="G367" i="1"/>
  <c r="G222" i="1"/>
  <c r="G200" i="1"/>
  <c r="G481" i="1"/>
  <c r="G428" i="1"/>
  <c r="G480" i="1"/>
  <c r="G203" i="1"/>
  <c r="G326" i="1"/>
  <c r="G340" i="1"/>
  <c r="G310" i="1"/>
  <c r="G425" i="1"/>
  <c r="G390" i="1"/>
  <c r="G163" i="1"/>
  <c r="G457" i="1"/>
  <c r="G236" i="1"/>
  <c r="G229" i="1"/>
  <c r="G444" i="1"/>
  <c r="G438" i="1"/>
  <c r="G193" i="1"/>
  <c r="G26" i="1"/>
  <c r="G27" i="1"/>
  <c r="G245" i="1"/>
  <c r="G400" i="1"/>
  <c r="G461" i="1"/>
  <c r="G449" i="1"/>
  <c r="G235" i="1"/>
  <c r="G385" i="1"/>
  <c r="G483" i="1"/>
  <c r="G485" i="1"/>
  <c r="G336" i="1"/>
  <c r="G8" i="1"/>
  <c r="G220" i="1"/>
  <c r="G472" i="1"/>
  <c r="G388" i="1"/>
  <c r="G12" i="1"/>
  <c r="G164" i="1"/>
  <c r="G436" i="1"/>
  <c r="G187" i="1"/>
  <c r="G146" i="1"/>
  <c r="G241" i="1"/>
  <c r="G161" i="1"/>
  <c r="G194" i="1"/>
  <c r="G238" i="1"/>
  <c r="G381" i="1"/>
  <c r="G224" i="1"/>
  <c r="G232" i="1"/>
  <c r="G234" i="1"/>
  <c r="G408" i="1"/>
  <c r="G415" i="1"/>
  <c r="G183" i="1"/>
  <c r="G149" i="1"/>
  <c r="G237" i="1"/>
  <c r="G16" i="1"/>
  <c r="G285" i="1"/>
  <c r="G209" i="1"/>
  <c r="G474" i="1"/>
  <c r="G6" i="1"/>
  <c r="G414" i="1"/>
  <c r="G23" i="1"/>
  <c r="G44" i="1"/>
  <c r="G486" i="1"/>
  <c r="G159" i="1"/>
  <c r="G490" i="1"/>
  <c r="G489" i="1"/>
  <c r="G491" i="1"/>
  <c r="G276" i="1"/>
  <c r="G350" i="1"/>
  <c r="G33" i="1"/>
  <c r="G79" i="1"/>
  <c r="G9" i="1"/>
  <c r="G471" i="1"/>
  <c r="G11" i="1"/>
  <c r="G389" i="1"/>
  <c r="G147" i="1"/>
  <c r="G230" i="1"/>
  <c r="G398" i="1"/>
  <c r="G207" i="1"/>
  <c r="G403" i="1"/>
  <c r="G476" i="1"/>
  <c r="G413" i="1"/>
  <c r="G191" i="1"/>
  <c r="G419" i="1"/>
  <c r="G253" i="1"/>
  <c r="G17" i="1"/>
  <c r="G78" i="1"/>
  <c r="G83" i="1"/>
  <c r="G165" i="1"/>
  <c r="G441" i="1"/>
  <c r="G18" i="1"/>
  <c r="G20" i="1"/>
  <c r="G145" i="1"/>
  <c r="G402" i="1"/>
  <c r="G320" i="1"/>
  <c r="G243" i="1"/>
  <c r="G287" i="1"/>
  <c r="G206" i="1"/>
  <c r="G239" i="1"/>
  <c r="G195" i="1"/>
  <c r="G384" i="1"/>
  <c r="G265" i="1"/>
  <c r="G182" i="1"/>
  <c r="G273" i="1"/>
  <c r="G167" i="1"/>
  <c r="G14" i="1"/>
  <c r="G39" i="1"/>
  <c r="G473" i="1"/>
  <c r="G42" i="1"/>
  <c r="G5" i="1"/>
  <c r="G333" i="1"/>
  <c r="G22" i="1"/>
  <c r="G162" i="1"/>
  <c r="G196" i="1"/>
  <c r="G177" i="1"/>
  <c r="G314" i="1"/>
  <c r="G341" i="1"/>
  <c r="G492" i="1"/>
  <c r="G334" i="1"/>
  <c r="G329" i="1"/>
  <c r="G316" i="1"/>
  <c r="G180" i="1"/>
  <c r="G467" i="1"/>
  <c r="G325" i="1"/>
  <c r="G356" i="1"/>
  <c r="G312" i="1"/>
  <c r="G348" i="1"/>
  <c r="G383" i="1"/>
  <c r="G298" i="1"/>
  <c r="G364" i="1"/>
  <c r="G324" i="1"/>
  <c r="G190" i="1"/>
  <c r="G35" i="1"/>
  <c r="G344" i="1"/>
  <c r="G294" i="1"/>
  <c r="G306" i="1"/>
  <c r="G240" i="1"/>
  <c r="G121" i="1"/>
  <c r="G260" i="1"/>
  <c r="G58" i="1"/>
  <c r="G64" i="1"/>
  <c r="G51" i="1"/>
  <c r="G55" i="1"/>
  <c r="G48" i="1"/>
  <c r="G81" i="1"/>
  <c r="G361" i="1"/>
  <c r="G377" i="1"/>
  <c r="G259" i="1"/>
  <c r="G233" i="1"/>
  <c r="G213" i="1"/>
  <c r="G122" i="1"/>
  <c r="G212" i="1"/>
  <c r="G397" i="1"/>
  <c r="G156" i="1"/>
  <c r="G299" i="1"/>
  <c r="G120" i="1"/>
  <c r="G63" i="1"/>
  <c r="G84" i="1"/>
  <c r="G373" i="1"/>
  <c r="G275" i="1"/>
  <c r="G303" i="1"/>
  <c r="G41" i="1"/>
  <c r="G173" i="1"/>
  <c r="G443" i="1"/>
  <c r="G247" i="1"/>
  <c r="G252" i="1"/>
  <c r="G422" i="1"/>
  <c r="G36" i="1"/>
  <c r="G448" i="1"/>
  <c r="G387" i="1"/>
  <c r="G465" i="1"/>
  <c r="G421" i="1"/>
  <c r="G445" i="1"/>
  <c r="G72" i="1"/>
  <c r="G375" i="1"/>
  <c r="G268" i="1"/>
  <c r="G40" i="1"/>
  <c r="G411" i="1"/>
  <c r="G67" i="1"/>
  <c r="G407" i="1"/>
  <c r="G410" i="1"/>
  <c r="G90" i="1"/>
  <c r="G282" i="1"/>
  <c r="G280" i="1"/>
  <c r="G87" i="1"/>
  <c r="G4" i="1"/>
  <c r="G97" i="1"/>
  <c r="G102" i="1"/>
  <c r="G107" i="1"/>
  <c r="G129" i="1"/>
  <c r="G136" i="1"/>
  <c r="G125" i="1"/>
  <c r="G133" i="1"/>
  <c r="G498" i="1"/>
  <c r="G497" i="1"/>
  <c r="G254" i="1"/>
  <c r="G29" i="1"/>
  <c r="G362" i="1"/>
  <c r="G198" i="1"/>
  <c r="G223" i="1"/>
  <c r="G466" i="1"/>
  <c r="G494" i="1"/>
  <c r="G406" i="1"/>
  <c r="G347" i="1"/>
  <c r="G148" i="1"/>
  <c r="G151" i="1"/>
  <c r="G153" i="1"/>
  <c r="G160" i="1"/>
  <c r="G353" i="1"/>
  <c r="G24" i="1"/>
  <c r="G289" i="1"/>
  <c r="G382" i="1"/>
  <c r="G432" i="1"/>
  <c r="G433" i="1"/>
  <c r="G291" i="1"/>
  <c r="G409" i="1"/>
  <c r="G337" i="1"/>
  <c r="G111" i="1"/>
  <c r="G38" i="1"/>
  <c r="G290" i="1"/>
  <c r="G302" i="1"/>
  <c r="G117" i="1"/>
  <c r="G114" i="1"/>
  <c r="G263" i="1"/>
  <c r="G274" i="1"/>
  <c r="G61" i="1"/>
  <c r="G188" i="1"/>
  <c r="G57" i="1"/>
  <c r="G47" i="1"/>
  <c r="G430" i="1"/>
  <c r="G372" i="1"/>
  <c r="G393" i="1"/>
  <c r="G189" i="1"/>
  <c r="G77" i="1"/>
  <c r="G332" i="1"/>
  <c r="G210" i="1"/>
  <c r="G217" i="1"/>
  <c r="G154" i="1"/>
  <c r="G158" i="1"/>
  <c r="G264" i="1"/>
  <c r="G368" i="1"/>
  <c r="G371" i="1"/>
  <c r="G300" i="1"/>
  <c r="G272" i="1"/>
  <c r="G251" i="1"/>
  <c r="G70" i="1"/>
  <c r="G258" i="1"/>
  <c r="G250" i="1"/>
  <c r="G46" i="1"/>
  <c r="G360" i="1"/>
  <c r="G435" i="1"/>
  <c r="G453" i="1"/>
  <c r="G174" i="1"/>
  <c r="G309" i="1"/>
  <c r="G330" i="1"/>
  <c r="G463" i="1"/>
  <c r="G379" i="1"/>
  <c r="G45" i="1"/>
  <c r="G352" i="1"/>
  <c r="G43" i="1"/>
  <c r="G75" i="1"/>
  <c r="G451" i="1"/>
  <c r="G144" i="1"/>
  <c r="G417" i="1"/>
  <c r="G395" i="1"/>
  <c r="G88" i="1"/>
  <c r="G418" i="1"/>
  <c r="G255" i="1"/>
  <c r="G446" i="1"/>
  <c r="G500" i="1"/>
  <c r="G95" i="1"/>
  <c r="G100" i="1"/>
  <c r="G105" i="1"/>
  <c r="G127" i="1"/>
  <c r="G131" i="1"/>
  <c r="G134" i="1"/>
  <c r="G99" i="1"/>
  <c r="G103" i="1"/>
  <c r="G495" i="1"/>
  <c r="G284" i="1"/>
  <c r="G197" i="1"/>
  <c r="G143" i="1"/>
  <c r="G366" i="1"/>
  <c r="G202" i="1"/>
  <c r="G7" i="1"/>
  <c r="G478" i="1"/>
  <c r="G176" i="1"/>
  <c r="G293" i="1"/>
  <c r="G199" i="1"/>
  <c r="G404" i="1"/>
  <c r="G152" i="1"/>
  <c r="G296" i="1"/>
  <c r="G339" i="1"/>
  <c r="G394" i="1"/>
  <c r="G355" i="1"/>
  <c r="G215" i="1"/>
  <c r="G431" i="1"/>
  <c r="G204" i="1"/>
  <c r="G295" i="1"/>
  <c r="G358" i="1"/>
  <c r="G323" i="1"/>
  <c r="G315" i="1"/>
  <c r="G34" i="1"/>
  <c r="G257" i="1"/>
  <c r="G292" i="1"/>
  <c r="G305" i="1"/>
  <c r="G228" i="1"/>
  <c r="G115" i="1"/>
  <c r="G459" i="1"/>
  <c r="G2" i="1"/>
  <c r="G62" i="1"/>
  <c r="G50" i="1"/>
  <c r="G60" i="1"/>
  <c r="G37" i="1"/>
  <c r="G311" i="1"/>
  <c r="G270" i="1"/>
  <c r="G416" i="1"/>
  <c r="G15" i="1"/>
  <c r="G307" i="1"/>
  <c r="G80" i="1"/>
  <c r="G169" i="1"/>
  <c r="G218" i="1"/>
  <c r="G155" i="1"/>
  <c r="G216" i="1"/>
  <c r="G119" i="1"/>
  <c r="G54" i="1"/>
  <c r="G49" i="1"/>
  <c r="G52" i="1"/>
  <c r="G124" i="1"/>
  <c r="G376" i="1"/>
  <c r="G271" i="1"/>
  <c r="G172" i="1"/>
  <c r="G442" i="1"/>
  <c r="G248" i="1"/>
  <c r="G351" i="1"/>
  <c r="G69" i="1"/>
  <c r="G454" i="1"/>
  <c r="G447" i="1"/>
  <c r="G464" i="1"/>
  <c r="G139" i="1"/>
  <c r="G171" i="1"/>
  <c r="G434" i="1"/>
  <c r="G71" i="1"/>
  <c r="G322" i="1"/>
  <c r="G10" i="1"/>
  <c r="G503" i="1"/>
  <c r="G76" i="1"/>
  <c r="G85" i="1"/>
  <c r="G427" i="1"/>
  <c r="G396" i="1"/>
  <c r="G89" i="1"/>
  <c r="G91" i="1"/>
  <c r="G256" i="1"/>
  <c r="G501" i="1"/>
  <c r="G3" i="1"/>
  <c r="G96" i="1"/>
  <c r="G101" i="1"/>
  <c r="G106" i="1"/>
  <c r="G128" i="1"/>
  <c r="G135" i="1"/>
  <c r="G175" i="1"/>
  <c r="G92" i="1"/>
  <c r="G108" i="1"/>
  <c r="S3" i="1"/>
  <c r="W3" i="1"/>
  <c r="T3" i="1"/>
  <c r="X3" i="1"/>
  <c r="U3" i="1"/>
  <c r="Y3" i="1"/>
  <c r="S2" i="1"/>
  <c r="W2" i="1"/>
  <c r="X2" i="1"/>
  <c r="Y2" i="1"/>
  <c r="T2" i="1"/>
  <c r="U2" i="1"/>
  <c r="AC2" i="1"/>
  <c r="Z2" i="1"/>
  <c r="AB2" i="1"/>
  <c r="AA2" i="1"/>
</calcChain>
</file>

<file path=xl/sharedStrings.xml><?xml version="1.0" encoding="utf-8"?>
<sst xmlns="http://schemas.openxmlformats.org/spreadsheetml/2006/main" count="1044" uniqueCount="512">
  <si>
    <t>Part No</t>
  </si>
  <si>
    <t>WD1</t>
  </si>
  <si>
    <t>WD</t>
  </si>
  <si>
    <t>Assy</t>
  </si>
  <si>
    <t>IMP</t>
  </si>
  <si>
    <t>FN</t>
  </si>
  <si>
    <t>G4A1A0000150</t>
  </si>
  <si>
    <t>TTC-170</t>
  </si>
  <si>
    <t>009-9006-20</t>
  </si>
  <si>
    <t>009-0680-60</t>
  </si>
  <si>
    <t>TO-9674</t>
  </si>
  <si>
    <t>EEI2011</t>
  </si>
  <si>
    <t>TR032A</t>
  </si>
  <si>
    <t>L07-2915-05</t>
  </si>
  <si>
    <t>NPT-1484J</t>
  </si>
  <si>
    <t>XW605A0</t>
  </si>
  <si>
    <t>XW606A0</t>
  </si>
  <si>
    <t>XW608AO</t>
  </si>
  <si>
    <t>1-443-516-11</t>
  </si>
  <si>
    <t>SSA554A436</t>
  </si>
  <si>
    <t>RTRNP0483AWZZ</t>
  </si>
  <si>
    <t>RTRNP0313AWZZ</t>
  </si>
  <si>
    <t>350P811A10</t>
  </si>
  <si>
    <t>SSA554A446</t>
  </si>
  <si>
    <t>12154-1</t>
  </si>
  <si>
    <t>12155-1</t>
  </si>
  <si>
    <t>3A0172-01</t>
  </si>
  <si>
    <t>EO-08507000</t>
  </si>
  <si>
    <t>ATT7077-A</t>
  </si>
  <si>
    <t>ATT7078-A</t>
  </si>
  <si>
    <t>ATT7079-A</t>
  </si>
  <si>
    <t>ATT7080-A</t>
  </si>
  <si>
    <t>RTRNP0378AWZZ</t>
  </si>
  <si>
    <t>TTC-02</t>
  </si>
  <si>
    <t>TTC-108N</t>
  </si>
  <si>
    <t>TTC-252</t>
  </si>
  <si>
    <t>TTC-5020</t>
  </si>
  <si>
    <t>EPTP-1A</t>
  </si>
  <si>
    <t>1-443-517-11</t>
  </si>
  <si>
    <t>EO-08506000(OE2TF043T)</t>
  </si>
  <si>
    <t>A401061</t>
  </si>
  <si>
    <t>A401058</t>
  </si>
  <si>
    <t>1-443-518-11</t>
  </si>
  <si>
    <t>1-443-520-11</t>
  </si>
  <si>
    <t>MG-21</t>
  </si>
  <si>
    <t>MET-46</t>
  </si>
  <si>
    <t>A401052</t>
  </si>
  <si>
    <t>TTC-108</t>
  </si>
  <si>
    <t>SSA554A441-R</t>
  </si>
  <si>
    <t>ATT7040-A</t>
  </si>
  <si>
    <t>SSA554A472</t>
  </si>
  <si>
    <t>X7032A0</t>
  </si>
  <si>
    <t>X7035A0</t>
  </si>
  <si>
    <t>G4DYA0000007(MS-0164)</t>
  </si>
  <si>
    <t>R40373E</t>
  </si>
  <si>
    <t>R40374E</t>
  </si>
  <si>
    <t>TTC-167</t>
  </si>
  <si>
    <t>MET-39</t>
  </si>
  <si>
    <t>MET-60</t>
  </si>
  <si>
    <t>MET-09</t>
  </si>
  <si>
    <t>MET-32</t>
  </si>
  <si>
    <t>REG5232416</t>
  </si>
  <si>
    <t>QQT0253-013</t>
  </si>
  <si>
    <t>MET-11</t>
  </si>
  <si>
    <t>MET-35</t>
  </si>
  <si>
    <t>MET-01</t>
  </si>
  <si>
    <t>G508</t>
  </si>
  <si>
    <t>MET-17</t>
  </si>
  <si>
    <t>MET-24</t>
  </si>
  <si>
    <t>MET-28</t>
  </si>
  <si>
    <t>MET-42</t>
  </si>
  <si>
    <t>MET-59</t>
  </si>
  <si>
    <t>MET-23</t>
  </si>
  <si>
    <t>MET-31</t>
  </si>
  <si>
    <t>G4DYA0000025</t>
  </si>
  <si>
    <t>G500</t>
  </si>
  <si>
    <t>SSA554A430</t>
  </si>
  <si>
    <t>STA0177RING(EO-06520000)</t>
  </si>
  <si>
    <t>RJE7012633/24</t>
  </si>
  <si>
    <t>MG-15</t>
  </si>
  <si>
    <t>TTC-118</t>
  </si>
  <si>
    <t>T1104</t>
  </si>
  <si>
    <t>PL2.5-16-130B</t>
  </si>
  <si>
    <t>TTC-03</t>
  </si>
  <si>
    <t>RRMF8242</t>
  </si>
  <si>
    <t>EEIM002</t>
  </si>
  <si>
    <t>EEIM001</t>
  </si>
  <si>
    <t>TTC-105-1</t>
  </si>
  <si>
    <t>TTC-105</t>
  </si>
  <si>
    <t>A40C1033</t>
  </si>
  <si>
    <t>PL5.0-24-130B</t>
  </si>
  <si>
    <t>PL2.5-20-130B</t>
  </si>
  <si>
    <t>G509</t>
  </si>
  <si>
    <t>MET-37</t>
  </si>
  <si>
    <t>ATT-81</t>
  </si>
  <si>
    <t>MS-0122</t>
  </si>
  <si>
    <t>G4CYAYY00137</t>
  </si>
  <si>
    <t>1-437-313-11</t>
  </si>
  <si>
    <t>1-435-322-11</t>
  </si>
  <si>
    <t>L07-3372-05</t>
  </si>
  <si>
    <t>SSA554A482</t>
  </si>
  <si>
    <t>QQS0422-002</t>
  </si>
  <si>
    <t>2030R00116</t>
  </si>
  <si>
    <t>QQS0428-001</t>
  </si>
  <si>
    <t>1-445-518-11</t>
  </si>
  <si>
    <t>G5AYA0000009</t>
  </si>
  <si>
    <t>YA197A0</t>
  </si>
  <si>
    <t>YA239A0</t>
  </si>
  <si>
    <t>YA240A0</t>
  </si>
  <si>
    <t>YA199A0</t>
  </si>
  <si>
    <t>2030R00161</t>
  </si>
  <si>
    <t>YA408A0</t>
  </si>
  <si>
    <t>1-445-635-11</t>
  </si>
  <si>
    <t>(RTR)NPT-1520JQ</t>
  </si>
  <si>
    <t>(RTR)NPT-1520GQ</t>
  </si>
  <si>
    <t>1-445-514-11</t>
  </si>
  <si>
    <t>T0700190B</t>
  </si>
  <si>
    <t>T0700200B</t>
  </si>
  <si>
    <t>R40848E</t>
  </si>
  <si>
    <t>YA879A0</t>
  </si>
  <si>
    <t>YA880A0</t>
  </si>
  <si>
    <t>1-443-929-11</t>
  </si>
  <si>
    <t>1-443-928-11</t>
  </si>
  <si>
    <t>RTRNPA127AWZZ</t>
  </si>
  <si>
    <t>YC186A0</t>
  </si>
  <si>
    <t>2030R00182</t>
  </si>
  <si>
    <t>ATT7042-A</t>
  </si>
  <si>
    <t>YA881A0</t>
  </si>
  <si>
    <t>9707455014(REP28-15)</t>
  </si>
  <si>
    <t>YC188A0</t>
  </si>
  <si>
    <t>G4DYZ0000049</t>
  </si>
  <si>
    <t>G4AYA0000033(TTC-5836)</t>
  </si>
  <si>
    <t>1-445-875-11</t>
  </si>
  <si>
    <t>ATK7003-A</t>
  </si>
  <si>
    <t>DTT1242-A</t>
  </si>
  <si>
    <t>DTT1243-A</t>
  </si>
  <si>
    <t>DTT1245-A</t>
  </si>
  <si>
    <t>YC639A0</t>
  </si>
  <si>
    <t>R39796E</t>
  </si>
  <si>
    <t>R39795E</t>
  </si>
  <si>
    <t>YC636A0</t>
  </si>
  <si>
    <t>YC638A0</t>
  </si>
  <si>
    <t>R41390E</t>
  </si>
  <si>
    <t>R41390EZ</t>
  </si>
  <si>
    <t>R41391EZ</t>
  </si>
  <si>
    <t>YC771A0</t>
  </si>
  <si>
    <t>YC772A0</t>
  </si>
  <si>
    <t>YC774A0</t>
  </si>
  <si>
    <t>R40921E</t>
  </si>
  <si>
    <t>PN935325P006</t>
  </si>
  <si>
    <t>R40893E</t>
  </si>
  <si>
    <t>R41486EZ</t>
  </si>
  <si>
    <t>CTH1432-A</t>
  </si>
  <si>
    <t>R41514EZ</t>
  </si>
  <si>
    <t>R40688E</t>
  </si>
  <si>
    <t>1-445-925-11</t>
  </si>
  <si>
    <t>R40675E</t>
  </si>
  <si>
    <t>1-481-797-21</t>
  </si>
  <si>
    <t>R40240E</t>
  </si>
  <si>
    <t>R40241EZ</t>
  </si>
  <si>
    <t>351P151B10</t>
  </si>
  <si>
    <t>DTT1255-A</t>
  </si>
  <si>
    <t>R40904E</t>
  </si>
  <si>
    <t>YD662A0</t>
  </si>
  <si>
    <t>YD664A0</t>
  </si>
  <si>
    <t>YD661A0</t>
  </si>
  <si>
    <t>R41789EZ</t>
  </si>
  <si>
    <t>R40782E</t>
  </si>
  <si>
    <t>YD663A0</t>
  </si>
  <si>
    <t>QQS0409-003</t>
  </si>
  <si>
    <t>1-445-635-21</t>
  </si>
  <si>
    <t>1-443-517-31</t>
  </si>
  <si>
    <t>PEPF41-14(19V0.15A)</t>
  </si>
  <si>
    <t>G4DYZ0000062</t>
  </si>
  <si>
    <t>R41867E</t>
  </si>
  <si>
    <t>1-433-666-21</t>
  </si>
  <si>
    <t>1-445-759-11</t>
  </si>
  <si>
    <t>A17722B</t>
  </si>
  <si>
    <t>PT-233</t>
  </si>
  <si>
    <t>YF209A0</t>
  </si>
  <si>
    <t>R42019E</t>
  </si>
  <si>
    <t>R42133E</t>
  </si>
  <si>
    <t>R42151E</t>
  </si>
  <si>
    <t>R42176EZ</t>
  </si>
  <si>
    <t>G4DYZ0000065</t>
  </si>
  <si>
    <t>G4DYZ0000071</t>
  </si>
  <si>
    <t>LTT2PC0TR005</t>
  </si>
  <si>
    <t>G4DYZ0000070</t>
  </si>
  <si>
    <t>LTT2PC0TR006</t>
  </si>
  <si>
    <t>(RTR)NPT-1633S</t>
  </si>
  <si>
    <t>G4DYZ0000069</t>
  </si>
  <si>
    <t>X9222A0</t>
  </si>
  <si>
    <t>X8843A0</t>
  </si>
  <si>
    <t>YA770A0</t>
  </si>
  <si>
    <t>YA775A0</t>
  </si>
  <si>
    <t>YA771B0</t>
  </si>
  <si>
    <t>YD161A0</t>
  </si>
  <si>
    <t>DTT1222-A</t>
  </si>
  <si>
    <t>TREG2563516</t>
  </si>
  <si>
    <t>SSA554A501</t>
  </si>
  <si>
    <t>SSA554A502</t>
  </si>
  <si>
    <t>R39740EZ(996977R)</t>
  </si>
  <si>
    <t>YA772A0</t>
  </si>
  <si>
    <t>R41414E</t>
  </si>
  <si>
    <t>R41414EZ</t>
  </si>
  <si>
    <t>G4DYZ0000068</t>
  </si>
  <si>
    <t>G4DYZ0000073</t>
  </si>
  <si>
    <t>1-450-322-11KP</t>
  </si>
  <si>
    <t>A40C1030</t>
  </si>
  <si>
    <t>SSA554A494</t>
  </si>
  <si>
    <t>R40580E</t>
  </si>
  <si>
    <t>AHD-T16579(A23123)</t>
  </si>
  <si>
    <t>AHD-T16581(A23223)</t>
  </si>
  <si>
    <t>AHD-T16621(A23124)</t>
  </si>
  <si>
    <t>R41215E</t>
  </si>
  <si>
    <t>EEIM003</t>
  </si>
  <si>
    <t>AHD-T16624(A23224)</t>
  </si>
  <si>
    <t>R39743EZ(996977D)</t>
  </si>
  <si>
    <t>R39759E(986852A)</t>
  </si>
  <si>
    <t>R41179E</t>
  </si>
  <si>
    <t>ATK7006-A</t>
  </si>
  <si>
    <t>X9219A0</t>
  </si>
  <si>
    <t>R39750EZ(994990D)</t>
  </si>
  <si>
    <t>R41705E</t>
  </si>
  <si>
    <t>RTRNPA172AWZZ</t>
  </si>
  <si>
    <t>R40521EZ</t>
  </si>
  <si>
    <t>YC637A0</t>
  </si>
  <si>
    <t>1-445-498-11</t>
  </si>
  <si>
    <t>R41847EZ</t>
  </si>
  <si>
    <t>R41848E</t>
  </si>
  <si>
    <t>R41849E</t>
  </si>
  <si>
    <t>R39536E</t>
  </si>
  <si>
    <t>GLA-UB4689</t>
  </si>
  <si>
    <t>R39770E</t>
  </si>
  <si>
    <t>REG3167198</t>
  </si>
  <si>
    <t>REG5263011</t>
  </si>
  <si>
    <t>TREG5263011</t>
  </si>
  <si>
    <t>R41462E</t>
  </si>
  <si>
    <t>TREG2163504</t>
  </si>
  <si>
    <t>TREG5263013</t>
  </si>
  <si>
    <t>G4DYZ0000076</t>
  </si>
  <si>
    <t>REG5440005</t>
  </si>
  <si>
    <t>TREG3167197/1</t>
  </si>
  <si>
    <t>TREG5267685</t>
  </si>
  <si>
    <t>R39742EZ(996977P)</t>
  </si>
  <si>
    <t>R39745EZ(994990V)</t>
  </si>
  <si>
    <t>R41866E</t>
  </si>
  <si>
    <t>R42097E-A</t>
  </si>
  <si>
    <t>R42097EZ-A</t>
  </si>
  <si>
    <t>SWER25F</t>
  </si>
  <si>
    <t>R40520EZ</t>
  </si>
  <si>
    <t>MP31G165</t>
  </si>
  <si>
    <t>R41122E</t>
  </si>
  <si>
    <t>R39929EZ(996977H)</t>
  </si>
  <si>
    <t>FT-71G</t>
  </si>
  <si>
    <t>3FL16-350</t>
  </si>
  <si>
    <t>3FL10-250</t>
  </si>
  <si>
    <t>1-492-498-11</t>
  </si>
  <si>
    <t>1-492-499-11</t>
  </si>
  <si>
    <t>3FL30-200</t>
  </si>
  <si>
    <t>1-697-293-11</t>
  </si>
  <si>
    <t>PL10-12-130B</t>
  </si>
  <si>
    <t>R41413E</t>
  </si>
  <si>
    <t>R41413EZ</t>
  </si>
  <si>
    <t>R39738EZ(996977T)</t>
  </si>
  <si>
    <t>R39739EZ(996977V)</t>
  </si>
  <si>
    <t>R39741EZ(996977F)</t>
  </si>
  <si>
    <t>R39744EZ(996977B)</t>
  </si>
  <si>
    <t>R39748EZ(994990P)</t>
  </si>
  <si>
    <t>R39751EZ(994990F)</t>
  </si>
  <si>
    <t>R39752EZ(994990B)</t>
  </si>
  <si>
    <t>3FL10-1200</t>
  </si>
  <si>
    <t>3FL16-700</t>
  </si>
  <si>
    <t>MET-18</t>
  </si>
  <si>
    <t>MET-45</t>
  </si>
  <si>
    <t>R40242E</t>
  </si>
  <si>
    <t>3FL12-475</t>
  </si>
  <si>
    <t>3FL16-150</t>
  </si>
  <si>
    <t>3FL24-250</t>
  </si>
  <si>
    <t>PL2.5-24-130B</t>
  </si>
  <si>
    <t>PL2.5-10-130B</t>
  </si>
  <si>
    <t>TTC-5029</t>
  </si>
  <si>
    <t>PL10-24-130B</t>
  </si>
  <si>
    <t>PL5.0-10-130B</t>
  </si>
  <si>
    <t>PL5.0-28-130B</t>
  </si>
  <si>
    <t>2-6042684Z</t>
  </si>
  <si>
    <t>2-6042685Z</t>
  </si>
  <si>
    <t>2-6042687Z</t>
  </si>
  <si>
    <t>2-6042688Z</t>
  </si>
  <si>
    <t>2-6042690Z</t>
  </si>
  <si>
    <t>2-6042691Z</t>
  </si>
  <si>
    <t>ETS-115220</t>
  </si>
  <si>
    <t>2-6042676Z</t>
  </si>
  <si>
    <t>2-6042677Z</t>
  </si>
  <si>
    <t>2-6042681Z</t>
  </si>
  <si>
    <t>2-6042682Z</t>
  </si>
  <si>
    <t>2-6042683Z</t>
  </si>
  <si>
    <t>2-6042686Z</t>
  </si>
  <si>
    <t>2-6042674Z</t>
  </si>
  <si>
    <t>R42048E</t>
  </si>
  <si>
    <t>2-6042673Z</t>
  </si>
  <si>
    <t>1-697-267-11</t>
  </si>
  <si>
    <t>38797</t>
  </si>
  <si>
    <t>R42452E(SEL098)</t>
  </si>
  <si>
    <t>TREG5263004</t>
  </si>
  <si>
    <t>R39760E(986851)</t>
  </si>
  <si>
    <t>R41966EZ</t>
  </si>
  <si>
    <t>R42229EZ</t>
  </si>
  <si>
    <t>R42231EZ</t>
  </si>
  <si>
    <t>PL5.0-12-130B</t>
  </si>
  <si>
    <t>R42425EZ</t>
  </si>
  <si>
    <t>RTRNPA161DRZZ</t>
  </si>
  <si>
    <t>RTRNPA162DRZZ</t>
  </si>
  <si>
    <t>T4059TA</t>
  </si>
  <si>
    <t>PL10-20-130B</t>
  </si>
  <si>
    <t>PL10-36-130B</t>
  </si>
  <si>
    <t>FE20P005</t>
  </si>
  <si>
    <t>1-435-322-21</t>
  </si>
  <si>
    <t>MET-29</t>
  </si>
  <si>
    <t>3FL12-200</t>
  </si>
  <si>
    <t>34869</t>
  </si>
  <si>
    <t>R39754E(986860)</t>
  </si>
  <si>
    <t>GLA-UB4687</t>
  </si>
  <si>
    <t>R39757E</t>
  </si>
  <si>
    <t>R40819E</t>
  </si>
  <si>
    <t>38796</t>
  </si>
  <si>
    <t>3FL24-500</t>
  </si>
  <si>
    <t>GLA-UB3951</t>
  </si>
  <si>
    <t>GLA-UB3950</t>
  </si>
  <si>
    <t>CMB-UB3803</t>
  </si>
  <si>
    <t>GLA-UB4688</t>
  </si>
  <si>
    <t>GLI-UB1749</t>
  </si>
  <si>
    <t>GLI-UB1750</t>
  </si>
  <si>
    <t>SFD-UB3297</t>
  </si>
  <si>
    <t>MET-27</t>
  </si>
  <si>
    <t>AHD-UB0085</t>
  </si>
  <si>
    <t>AHD-UB0086</t>
  </si>
  <si>
    <t>AHD-UB0087</t>
  </si>
  <si>
    <t>AHD-UB0908</t>
  </si>
  <si>
    <t>AHD-UB1059</t>
  </si>
  <si>
    <t>GLI-UB1734</t>
  </si>
  <si>
    <t>R39746EZ(994990T)</t>
  </si>
  <si>
    <t>R40672E</t>
  </si>
  <si>
    <t>PL2.5-12-130B</t>
  </si>
  <si>
    <t>3FL20-300</t>
  </si>
  <si>
    <t>3FL24-100</t>
  </si>
  <si>
    <t>X9220A0</t>
  </si>
  <si>
    <t>R42174EZ</t>
  </si>
  <si>
    <t>2-6042680Z</t>
  </si>
  <si>
    <t>2-6042689Z</t>
  </si>
  <si>
    <t>2-6042679Z</t>
  </si>
  <si>
    <t>R42230EZ</t>
  </si>
  <si>
    <t>2-6042675Z</t>
  </si>
  <si>
    <t>3E740028-1</t>
  </si>
  <si>
    <t>R42343EZ</t>
  </si>
  <si>
    <t>R39747EZ(994990R)</t>
  </si>
  <si>
    <t>2-6042678Z</t>
  </si>
  <si>
    <t>R42312EZ</t>
  </si>
  <si>
    <t>3FL20-125</t>
  </si>
  <si>
    <t>PL5.0-20-130B</t>
  </si>
  <si>
    <t>3FL30-400</t>
  </si>
  <si>
    <t>PL5.0-36-130B</t>
  </si>
  <si>
    <t>3FL34-170</t>
  </si>
  <si>
    <t>MS-1413-2</t>
  </si>
  <si>
    <t>R42376EZ</t>
  </si>
  <si>
    <t>R39749EZ(994990H)</t>
  </si>
  <si>
    <t>2-6043382Z</t>
  </si>
  <si>
    <t>2-6043615Z</t>
  </si>
  <si>
    <t>PL5.0-16-130B</t>
  </si>
  <si>
    <t>2030R00123</t>
  </si>
  <si>
    <t>3FW90-32-16-120</t>
  </si>
  <si>
    <t>PL10-16-130B</t>
  </si>
  <si>
    <t>CTH1620-A</t>
  </si>
  <si>
    <t>CTH1621-A</t>
  </si>
  <si>
    <t>PL10-28-130B</t>
  </si>
  <si>
    <t>MS-1240</t>
  </si>
  <si>
    <t>TTC-110</t>
  </si>
  <si>
    <t>TTC-5017</t>
  </si>
  <si>
    <t>2-5000004Z</t>
  </si>
  <si>
    <t>MP41F042</t>
  </si>
  <si>
    <t>MP41F030</t>
  </si>
  <si>
    <t>TOT-207(504476)</t>
  </si>
  <si>
    <t>R41929EZ</t>
  </si>
  <si>
    <t>R41540EZ</t>
  </si>
  <si>
    <t>MT25-PC</t>
  </si>
  <si>
    <t>3FL10-600</t>
  </si>
  <si>
    <t>TS1106</t>
  </si>
  <si>
    <t>2-6043599Z</t>
  </si>
  <si>
    <t>TP3510T13215F</t>
  </si>
  <si>
    <t>TP3520T13215F</t>
  </si>
  <si>
    <t>TTC-264</t>
  </si>
  <si>
    <t>1657276</t>
  </si>
  <si>
    <t>2-6042897Z</t>
  </si>
  <si>
    <t>CTH1636-A</t>
  </si>
  <si>
    <t>TTC-143</t>
  </si>
  <si>
    <t>TTC-143-LB</t>
  </si>
  <si>
    <t>TTC-5014</t>
  </si>
  <si>
    <t>R39758E(986853)</t>
  </si>
  <si>
    <t>X8522A0</t>
  </si>
  <si>
    <t>RRMH4436</t>
  </si>
  <si>
    <t>X8520A0</t>
  </si>
  <si>
    <t>R40734E</t>
  </si>
  <si>
    <t>40241</t>
  </si>
  <si>
    <t>X8523A0</t>
  </si>
  <si>
    <t>38798</t>
  </si>
  <si>
    <t>X8521A0</t>
  </si>
  <si>
    <t>CTH1466-A</t>
  </si>
  <si>
    <t>TP3510T13125F</t>
  </si>
  <si>
    <t>TP3520T13125F</t>
  </si>
  <si>
    <t>RD10-0013R1</t>
  </si>
  <si>
    <t>TS1104</t>
  </si>
  <si>
    <t>TTC-142</t>
  </si>
  <si>
    <t>TTC-5028</t>
  </si>
  <si>
    <t>24076-51</t>
  </si>
  <si>
    <t>2-6044214Z</t>
  </si>
  <si>
    <t>2-6044215Z</t>
  </si>
  <si>
    <t>2-6044216Z</t>
  </si>
  <si>
    <t>R41654EZ</t>
  </si>
  <si>
    <t>R40385E</t>
  </si>
  <si>
    <t>R42356EZ</t>
  </si>
  <si>
    <t>R39535E</t>
  </si>
  <si>
    <t>2030R00165</t>
  </si>
  <si>
    <t>10A009</t>
  </si>
  <si>
    <t>PL2.5-36-130B</t>
  </si>
  <si>
    <t>2-6044393Z</t>
  </si>
  <si>
    <t>2-6044830Z</t>
  </si>
  <si>
    <t>YF377A0</t>
  </si>
  <si>
    <t>2030R00120</t>
  </si>
  <si>
    <t>HT-ETD39-7802</t>
  </si>
  <si>
    <t>TTC-174</t>
  </si>
  <si>
    <t>2-6044940Z</t>
  </si>
  <si>
    <t>SWT-71</t>
  </si>
  <si>
    <t>SWT-91</t>
  </si>
  <si>
    <t>A24102A-T</t>
  </si>
  <si>
    <t>3E750451-1</t>
  </si>
  <si>
    <t>2-6043317Z</t>
  </si>
  <si>
    <t>G556A</t>
  </si>
  <si>
    <t>TAM25301</t>
  </si>
  <si>
    <t>TREG2563515</t>
  </si>
  <si>
    <t>SSA554A511</t>
  </si>
  <si>
    <t>CH-76-TM1</t>
  </si>
  <si>
    <t>RTRNWA008DRZZ</t>
  </si>
  <si>
    <t>RTRNWA009DRZZ</t>
  </si>
  <si>
    <t>SWT-115</t>
  </si>
  <si>
    <t>800-2575</t>
  </si>
  <si>
    <t>3EB75171-1</t>
  </si>
  <si>
    <t>3EB75172-1</t>
  </si>
  <si>
    <t>3EB75180-1</t>
  </si>
  <si>
    <t>55002000</t>
  </si>
  <si>
    <t>TAM26001</t>
  </si>
  <si>
    <t>3EB75181-1</t>
  </si>
  <si>
    <t>PT-251</t>
  </si>
  <si>
    <t>PT-253</t>
  </si>
  <si>
    <t>PFC-PQ3535A</t>
  </si>
  <si>
    <t>PFC-PQ4040B</t>
  </si>
  <si>
    <t>PT-249</t>
  </si>
  <si>
    <t>PT-250</t>
  </si>
  <si>
    <t>TTC-142-2</t>
  </si>
  <si>
    <t>3E750484-1</t>
  </si>
  <si>
    <t>YE60R386H01</t>
  </si>
  <si>
    <t>3E750492-1</t>
  </si>
  <si>
    <t>PT-245</t>
  </si>
  <si>
    <t>YK679A0</t>
  </si>
  <si>
    <t>YK680A0</t>
  </si>
  <si>
    <t>YK681A0</t>
  </si>
  <si>
    <t>YE60L028H55</t>
  </si>
  <si>
    <t>YE60L383H01</t>
  </si>
  <si>
    <t>3FD-410</t>
  </si>
  <si>
    <t>3FD-412</t>
  </si>
  <si>
    <t>3FD-416</t>
  </si>
  <si>
    <t>3FD-420</t>
  </si>
  <si>
    <t>3FD-424</t>
  </si>
  <si>
    <t>3FD-436</t>
  </si>
  <si>
    <t>3FD-436-1</t>
  </si>
  <si>
    <t>3FD-456</t>
  </si>
  <si>
    <t>3FD-516</t>
  </si>
  <si>
    <t>3FD-520</t>
  </si>
  <si>
    <t>3FD-524</t>
  </si>
  <si>
    <t>3FD-528</t>
  </si>
  <si>
    <t>3FD-548</t>
  </si>
  <si>
    <t>3FS-412</t>
  </si>
  <si>
    <t>3FS-420</t>
  </si>
  <si>
    <t>3FS-424</t>
  </si>
  <si>
    <t>3FS-428</t>
  </si>
  <si>
    <t>3FS-436</t>
  </si>
  <si>
    <t>3FS-524</t>
  </si>
  <si>
    <t>3FS-536</t>
  </si>
  <si>
    <t>3FS-556</t>
  </si>
  <si>
    <t>3FS-520</t>
  </si>
  <si>
    <t>CTH1718-A</t>
  </si>
  <si>
    <t>3FL30-85</t>
  </si>
  <si>
    <t>3FD-320</t>
  </si>
  <si>
    <t>RRMFP147</t>
  </si>
  <si>
    <t>3FS-436-1</t>
  </si>
  <si>
    <t>3FD-428</t>
  </si>
  <si>
    <t>3FD-224-001</t>
  </si>
  <si>
    <t>PT-235</t>
  </si>
  <si>
    <t>3FD-510</t>
  </si>
  <si>
    <t>3FD-536</t>
  </si>
  <si>
    <t>3FS-512</t>
  </si>
  <si>
    <t>MP</t>
  </si>
  <si>
    <t>QTY</t>
  </si>
  <si>
    <t>Working Time</t>
  </si>
  <si>
    <t>Efficiency</t>
  </si>
  <si>
    <t>Estimate MP</t>
  </si>
  <si>
    <t>Estimate Qty</t>
  </si>
  <si>
    <t>Estimate Efficiency</t>
  </si>
  <si>
    <t>Estimate Working Time</t>
  </si>
  <si>
    <t>Total</t>
  </si>
  <si>
    <t>R41180EZ</t>
  </si>
  <si>
    <t>Option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</si>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</sst>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  <numFmt numFmtId="166" formatCode="#,##0.000_);[Red]\(#,##0.0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5" borderId="0" xfId="0" applyFill="1"/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9" fontId="3" fillId="0" borderId="1" xfId="2" applyFont="1" applyBorder="1" applyAlignment="1" applyProtection="1">
      <alignment horizontal="center" vertical="center" wrapText="1"/>
      <protection locked="0"/>
    </xf>
    <xf numFmtId="165" fontId="3" fillId="2" borderId="1" xfId="1" applyNumberFormat="1" applyFont="1" applyFill="1" applyBorder="1" applyAlignment="1" applyProtection="1">
      <alignment horizontal="center" vertical="center" wrapText="1"/>
      <protection locked="0"/>
    </xf>
    <xf numFmtId="9" fontId="3" fillId="2" borderId="1" xfId="2" applyFont="1" applyFill="1" applyBorder="1" applyAlignment="1" applyProtection="1">
      <alignment horizontal="center" vertical="center" wrapText="1"/>
      <protection locked="0"/>
    </xf>
    <xf numFmtId="165" fontId="3" fillId="3" borderId="1" xfId="1" applyNumberFormat="1" applyFont="1" applyFill="1" applyBorder="1" applyAlignment="1" applyProtection="1">
      <alignment horizontal="center" vertical="center" wrapText="1"/>
      <protection locked="0"/>
    </xf>
    <xf numFmtId="9" fontId="3" fillId="3" borderId="1" xfId="2" applyFont="1" applyFill="1" applyBorder="1" applyAlignment="1" applyProtection="1">
      <alignment horizontal="center" vertical="center" wrapText="1"/>
      <protection locked="0"/>
    </xf>
    <xf numFmtId="165" fontId="3" fillId="4" borderId="1" xfId="1" applyNumberFormat="1" applyFont="1" applyFill="1" applyBorder="1" applyAlignment="1" applyProtection="1">
      <alignment horizontal="center" vertical="center" wrapText="1"/>
      <protection locked="0"/>
    </xf>
    <xf numFmtId="9" fontId="3" fillId="4" borderId="1" xfId="2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1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9" fontId="2" fillId="0" borderId="1" xfId="2" applyFont="1" applyBorder="1" applyAlignment="1" applyProtection="1">
      <alignment horizontal="center" vertical="center"/>
      <protection locked="0"/>
    </xf>
    <xf numFmtId="9" fontId="2" fillId="0" borderId="0" xfId="2" applyFont="1" applyAlignment="1" applyProtection="1">
      <alignment horizontal="center" vertical="center"/>
      <protection locked="0"/>
    </xf>
    <xf numFmtId="165" fontId="2" fillId="0" borderId="0" xfId="1" applyNumberFormat="1" applyFont="1" applyAlignment="1" applyProtection="1">
      <alignment horizontal="center" vertical="center"/>
      <protection locked="0"/>
    </xf>
    <xf numFmtId="164" fontId="2" fillId="0" borderId="0" xfId="1" applyNumberFormat="1" applyFont="1" applyAlignment="1" applyProtection="1">
      <alignment horizontal="center" vertical="center"/>
    </xf>
    <xf numFmtId="39" fontId="2" fillId="0" borderId="1" xfId="1" applyNumberFormat="1" applyFont="1" applyBorder="1" applyAlignment="1" applyProtection="1">
      <alignment horizontal="center" vertical="center"/>
    </xf>
    <xf numFmtId="165" fontId="2" fillId="0" borderId="1" xfId="1" applyNumberFormat="1" applyFont="1" applyBorder="1" applyAlignment="1" applyProtection="1">
      <alignment horizontal="center" vertical="center"/>
    </xf>
    <xf numFmtId="9" fontId="2" fillId="0" borderId="1" xfId="2" applyFont="1" applyBorder="1" applyAlignment="1" applyProtection="1">
      <alignment horizontal="center" vertical="center"/>
    </xf>
    <xf numFmtId="0" fontId="0" fillId="0" borderId="0" xfId="0" applyFill="1"/>
    <xf numFmtId="164" fontId="2" fillId="0" borderId="0" xfId="0" applyNumberFormat="1" applyFont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166" fontId="2" fillId="0" borderId="0" xfId="1" applyNumberFormat="1" applyFont="1" applyAlignment="1" applyProtection="1">
      <alignment horizontal="center" vertical="center"/>
      <protection locked="0"/>
    </xf>
    <xf numFmtId="166" fontId="2" fillId="0" borderId="0" xfId="0" applyNumberFormat="1" applyFont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5</xdr:row>
          <xdr:rowOff>171450</xdr:rowOff>
        </xdr:from>
        <xdr:to>
          <xdr:col>7</xdr:col>
          <xdr:colOff>47625</xdr:colOff>
          <xdr:row>9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\TX%20Department%201\11_TX%20Production%20Section\Line%20by%20line%20efficiency\9%20-%20PO%20&amp;%20Actual%20Time\2021\Actual%20&amp;%20PO%20Analysis%20(Based%20on%202021%20Time%20Study%20Analysis%20up%20to%20May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-2021"/>
      <sheetName val="Feb-2021"/>
      <sheetName val="March-2021"/>
      <sheetName val="April-2021"/>
      <sheetName val="May-2021"/>
      <sheetName val="Jun-2021"/>
      <sheetName val="Actual &amp; PO  Analysis 20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4">
          <cell r="A4">
            <v>6236009306</v>
          </cell>
          <cell r="B4"/>
          <cell r="C4"/>
          <cell r="D4">
            <v>4.0780000000000003</v>
          </cell>
          <cell r="E4"/>
          <cell r="F4">
            <v>2.4380000000000002</v>
          </cell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>
            <v>15.268000000000001</v>
          </cell>
          <cell r="T4"/>
          <cell r="U4"/>
          <cell r="V4"/>
          <cell r="W4"/>
          <cell r="X4"/>
          <cell r="Y4"/>
          <cell r="Z4"/>
          <cell r="AA4"/>
          <cell r="AB4">
            <v>1.8580000000000001</v>
          </cell>
          <cell r="AC4">
            <v>5.7149999999999999</v>
          </cell>
          <cell r="AD4">
            <v>0.44700000000000001</v>
          </cell>
          <cell r="AE4">
            <v>3.0169999999999999</v>
          </cell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 t="str">
            <v>0</v>
          </cell>
          <cell r="BK4">
            <v>0</v>
          </cell>
          <cell r="BL4">
            <v>0</v>
          </cell>
          <cell r="BM4" t="str">
            <v/>
          </cell>
          <cell r="BN4" t="str">
            <v>0</v>
          </cell>
          <cell r="BO4" t="str">
            <v/>
          </cell>
          <cell r="BP4">
            <v>1.8580000000000001</v>
          </cell>
          <cell r="BQ4">
            <v>0.98</v>
          </cell>
          <cell r="BR4">
            <v>-0.87800000000000011</v>
          </cell>
          <cell r="BS4">
            <v>258.34230355220666</v>
          </cell>
          <cell r="BT4">
            <v>489.79591836734693</v>
          </cell>
          <cell r="BU4">
            <v>-231.45361481514027</v>
          </cell>
          <cell r="BV4">
            <v>8.3536666666666672</v>
          </cell>
          <cell r="BW4">
            <v>2.5499999999999998</v>
          </cell>
          <cell r="BX4">
            <v>-5.8036666666666674</v>
          </cell>
          <cell r="BY4">
            <v>57.459798092653919</v>
          </cell>
          <cell r="BZ4">
            <v>188.23529411764707</v>
          </cell>
          <cell r="CA4">
            <v>-130.77549602499315</v>
          </cell>
          <cell r="CB4">
            <v>0.44700000000000001</v>
          </cell>
          <cell r="CC4">
            <v>0</v>
          </cell>
          <cell r="CD4">
            <v>-0.44700000000000001</v>
          </cell>
          <cell r="CE4">
            <v>1073.8255033557048</v>
          </cell>
          <cell r="CF4" t="str">
            <v>0</v>
          </cell>
          <cell r="CG4">
            <v>1073.8255033557048</v>
          </cell>
          <cell r="CH4">
            <v>2.7275</v>
          </cell>
        </row>
        <row r="5">
          <cell r="A5">
            <v>6236009307</v>
          </cell>
          <cell r="B5"/>
          <cell r="C5">
            <v>2.6080000000000001</v>
          </cell>
          <cell r="D5">
            <v>3.4750000000000001</v>
          </cell>
          <cell r="E5"/>
          <cell r="F5">
            <v>3.3450000000000002</v>
          </cell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>
            <v>2.6709999999999998</v>
          </cell>
          <cell r="S5"/>
          <cell r="T5"/>
          <cell r="U5"/>
          <cell r="V5"/>
          <cell r="W5"/>
          <cell r="X5"/>
          <cell r="Y5"/>
          <cell r="Z5"/>
          <cell r="AA5"/>
          <cell r="AB5">
            <v>1.7490000000000001</v>
          </cell>
          <cell r="AC5">
            <v>3.99</v>
          </cell>
          <cell r="AD5">
            <v>0.27700000000000002</v>
          </cell>
          <cell r="AE5">
            <v>2.0739999999999998</v>
          </cell>
          <cell r="AF5"/>
          <cell r="AG5"/>
          <cell r="AH5"/>
          <cell r="AI5"/>
          <cell r="AJ5"/>
          <cell r="AK5"/>
          <cell r="AL5"/>
          <cell r="AM5"/>
          <cell r="AN5"/>
          <cell r="AO5"/>
          <cell r="AP5"/>
          <cell r="AQ5"/>
          <cell r="AR5"/>
          <cell r="AS5"/>
          <cell r="AT5"/>
          <cell r="AU5"/>
          <cell r="AV5"/>
          <cell r="AW5"/>
          <cell r="AX5"/>
          <cell r="AY5"/>
          <cell r="AZ5"/>
          <cell r="BA5"/>
          <cell r="BB5"/>
          <cell r="BC5"/>
          <cell r="BD5"/>
          <cell r="BE5"/>
          <cell r="BF5"/>
          <cell r="BG5"/>
          <cell r="BH5"/>
          <cell r="BI5"/>
          <cell r="BJ5" t="str">
            <v>0</v>
          </cell>
          <cell r="BK5">
            <v>0</v>
          </cell>
          <cell r="BL5">
            <v>0</v>
          </cell>
          <cell r="BM5" t="str">
            <v/>
          </cell>
          <cell r="BN5" t="str">
            <v>0</v>
          </cell>
          <cell r="BO5" t="str">
            <v/>
          </cell>
          <cell r="BP5">
            <v>2.3426666666666667</v>
          </cell>
          <cell r="BQ5">
            <v>0.98</v>
          </cell>
          <cell r="BR5">
            <v>-1.3626666666666667</v>
          </cell>
          <cell r="BS5">
            <v>204.89470688673876</v>
          </cell>
          <cell r="BT5">
            <v>489.79591836734693</v>
          </cell>
          <cell r="BU5">
            <v>-284.90121148060814</v>
          </cell>
          <cell r="BV5">
            <v>3.7324999999999999</v>
          </cell>
          <cell r="BW5">
            <v>2.5499999999999998</v>
          </cell>
          <cell r="BX5">
            <v>-1.1825000000000001</v>
          </cell>
          <cell r="BY5">
            <v>128.60013395847287</v>
          </cell>
          <cell r="BZ5">
            <v>188.23529411764707</v>
          </cell>
          <cell r="CA5">
            <v>-59.635160159174205</v>
          </cell>
          <cell r="CB5">
            <v>0.27700000000000002</v>
          </cell>
          <cell r="CC5">
            <v>0</v>
          </cell>
          <cell r="CD5">
            <v>-0.27700000000000002</v>
          </cell>
          <cell r="CE5">
            <v>1732.8519855595666</v>
          </cell>
          <cell r="CF5" t="str">
            <v>0</v>
          </cell>
          <cell r="CG5">
            <v>1732.8519855595666</v>
          </cell>
          <cell r="CH5">
            <v>2.7095000000000002</v>
          </cell>
        </row>
        <row r="6">
          <cell r="A6" t="str">
            <v>1-435-322-21</v>
          </cell>
          <cell r="B6">
            <v>0.6</v>
          </cell>
          <cell r="C6">
            <v>0.6</v>
          </cell>
          <cell r="D6">
            <v>2.98</v>
          </cell>
          <cell r="E6">
            <v>0.16600000000000001</v>
          </cell>
          <cell r="F6">
            <v>2.9140000000000001</v>
          </cell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>
            <v>0.44600000000000001</v>
          </cell>
          <cell r="W6">
            <v>0.48399999999999999</v>
          </cell>
          <cell r="X6">
            <v>2.7130000000000001</v>
          </cell>
          <cell r="Y6">
            <v>0.16500000000000001</v>
          </cell>
          <cell r="Z6">
            <v>1.238</v>
          </cell>
          <cell r="AA6">
            <v>0.60399999999999998</v>
          </cell>
          <cell r="AB6">
            <v>0.72799999999999998</v>
          </cell>
          <cell r="AC6"/>
          <cell r="AD6"/>
          <cell r="AE6"/>
          <cell r="AF6"/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  <cell r="BE6"/>
          <cell r="BF6"/>
          <cell r="BG6"/>
          <cell r="BH6"/>
          <cell r="BI6"/>
          <cell r="BJ6">
            <v>0.54999999999999993</v>
          </cell>
          <cell r="BK6">
            <v>0</v>
          </cell>
          <cell r="BL6">
            <v>-0.54999999999999993</v>
          </cell>
          <cell r="BM6">
            <v>872.72727272727286</v>
          </cell>
          <cell r="BN6" t="str">
            <v>0</v>
          </cell>
          <cell r="BO6">
            <v>872.72727272727286</v>
          </cell>
          <cell r="BP6">
            <v>0.60399999999999998</v>
          </cell>
          <cell r="BQ6">
            <v>0.93600000000000005</v>
          </cell>
          <cell r="BR6">
            <v>0.33200000000000007</v>
          </cell>
          <cell r="BS6">
            <v>794.70198675496692</v>
          </cell>
          <cell r="BT6">
            <v>512.82051282051282</v>
          </cell>
          <cell r="BU6">
            <v>281.88147393445411</v>
          </cell>
          <cell r="BV6">
            <v>2.8464999999999998</v>
          </cell>
          <cell r="BW6">
            <v>1.786</v>
          </cell>
          <cell r="BX6">
            <v>-1.0604999999999998</v>
          </cell>
          <cell r="BY6">
            <v>168.62813982083262</v>
          </cell>
          <cell r="BZ6">
            <v>268.75699888017914</v>
          </cell>
          <cell r="CA6">
            <v>-100.12885905934652</v>
          </cell>
          <cell r="CB6">
            <v>0.16550000000000001</v>
          </cell>
          <cell r="CC6">
            <v>9.5000000000000001E-2</v>
          </cell>
          <cell r="CD6">
            <v>-7.0500000000000007E-2</v>
          </cell>
          <cell r="CE6">
            <v>2900.302114803625</v>
          </cell>
          <cell r="CF6">
            <v>5052.6315789473683</v>
          </cell>
          <cell r="CG6">
            <v>-2152.3294641437433</v>
          </cell>
          <cell r="CH6">
            <v>2.0760000000000001</v>
          </cell>
        </row>
        <row r="7">
          <cell r="A7" t="str">
            <v>1-443-517-31</v>
          </cell>
          <cell r="B7"/>
          <cell r="C7"/>
          <cell r="D7"/>
          <cell r="E7"/>
          <cell r="F7"/>
          <cell r="G7"/>
          <cell r="H7">
            <v>0.62</v>
          </cell>
          <cell r="I7">
            <v>1.863</v>
          </cell>
          <cell r="J7">
            <v>0.16200000000000001</v>
          </cell>
          <cell r="K7">
            <v>0.84399999999999997</v>
          </cell>
          <cell r="L7"/>
          <cell r="M7"/>
          <cell r="N7"/>
          <cell r="O7"/>
          <cell r="P7"/>
          <cell r="Q7"/>
          <cell r="R7"/>
          <cell r="S7"/>
          <cell r="T7"/>
          <cell r="U7"/>
          <cell r="V7">
            <v>1.1180000000000001</v>
          </cell>
          <cell r="W7">
            <v>0.55900000000000005</v>
          </cell>
          <cell r="X7">
            <v>5.556</v>
          </cell>
          <cell r="Y7">
            <v>0.14799999999999999</v>
          </cell>
          <cell r="Z7">
            <v>2.6669999999999998</v>
          </cell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  <cell r="BE7"/>
          <cell r="BF7"/>
          <cell r="BG7"/>
          <cell r="BH7"/>
          <cell r="BI7"/>
          <cell r="BJ7">
            <v>1.1180000000000001</v>
          </cell>
          <cell r="BK7">
            <v>0</v>
          </cell>
          <cell r="BL7">
            <v>-1.1180000000000001</v>
          </cell>
          <cell r="BM7">
            <v>429.33810375670839</v>
          </cell>
          <cell r="BN7" t="str">
            <v>0</v>
          </cell>
          <cell r="BO7">
            <v>429.33810375670839</v>
          </cell>
          <cell r="BP7">
            <v>0.58950000000000002</v>
          </cell>
          <cell r="BQ7">
            <v>1.651</v>
          </cell>
          <cell r="BR7">
            <v>1.0615000000000001</v>
          </cell>
          <cell r="BS7">
            <v>814.24936386768445</v>
          </cell>
          <cell r="BT7">
            <v>290.73288915808598</v>
          </cell>
          <cell r="BU7">
            <v>523.51647470959847</v>
          </cell>
          <cell r="BV7">
            <v>3.7095000000000002</v>
          </cell>
          <cell r="BW7">
            <v>2.2480000000000002</v>
          </cell>
          <cell r="BX7">
            <v>-1.4615</v>
          </cell>
          <cell r="BY7">
            <v>129.39749292357459</v>
          </cell>
          <cell r="BZ7">
            <v>213.52313167259786</v>
          </cell>
          <cell r="CA7">
            <v>-84.125638749023267</v>
          </cell>
          <cell r="CB7">
            <v>0.155</v>
          </cell>
          <cell r="CC7">
            <v>0.126</v>
          </cell>
          <cell r="CD7">
            <v>-2.8999999999999998E-2</v>
          </cell>
          <cell r="CE7">
            <v>3096.7741935483873</v>
          </cell>
          <cell r="CF7">
            <v>3809.5238095238096</v>
          </cell>
          <cell r="CG7">
            <v>-712.74961597542233</v>
          </cell>
          <cell r="CH7">
            <v>1.7554999999999998</v>
          </cell>
        </row>
        <row r="8">
          <cell r="A8" t="str">
            <v>1-445-635-21</v>
          </cell>
          <cell r="B8">
            <v>0.54100000000000004</v>
          </cell>
          <cell r="C8">
            <v>0.34699999999999998</v>
          </cell>
          <cell r="D8">
            <v>2.6339999999999999</v>
          </cell>
          <cell r="E8">
            <v>0.191</v>
          </cell>
          <cell r="F8">
            <v>1.2070000000000001</v>
          </cell>
          <cell r="G8"/>
          <cell r="H8">
            <v>0.35</v>
          </cell>
          <cell r="I8">
            <v>3.0339999999999998</v>
          </cell>
          <cell r="J8">
            <v>0.16200000000000001</v>
          </cell>
          <cell r="K8">
            <v>1.1830000000000001</v>
          </cell>
          <cell r="L8">
            <v>0.72199999999999998</v>
          </cell>
          <cell r="M8">
            <v>0.47299999999999998</v>
          </cell>
          <cell r="N8">
            <v>3.8759999999999999</v>
          </cell>
          <cell r="O8">
            <v>0.161</v>
          </cell>
          <cell r="P8">
            <v>1.3029999999999999</v>
          </cell>
          <cell r="Q8"/>
          <cell r="R8"/>
          <cell r="S8"/>
          <cell r="T8"/>
          <cell r="U8">
            <v>0.80900000000000005</v>
          </cell>
          <cell r="V8">
            <v>0.57599999999999996</v>
          </cell>
          <cell r="W8">
            <v>0.57799999999999996</v>
          </cell>
          <cell r="X8">
            <v>2.6749999999999998</v>
          </cell>
          <cell r="Y8">
            <v>0.153</v>
          </cell>
          <cell r="Z8">
            <v>1.0680000000000001</v>
          </cell>
          <cell r="AA8">
            <v>0.47499999999999998</v>
          </cell>
          <cell r="AB8">
            <v>0.43</v>
          </cell>
          <cell r="AC8">
            <v>3.2879999999999998</v>
          </cell>
          <cell r="AD8">
            <v>0.20100000000000001</v>
          </cell>
          <cell r="AE8">
            <v>1.3169999999999999</v>
          </cell>
          <cell r="AF8"/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>
            <v>0.57850000000000001</v>
          </cell>
          <cell r="BK8">
            <v>0</v>
          </cell>
          <cell r="BL8">
            <v>-0.57850000000000001</v>
          </cell>
          <cell r="BM8">
            <v>829.7320656871218</v>
          </cell>
          <cell r="BN8" t="str">
            <v>0</v>
          </cell>
          <cell r="BO8">
            <v>829.7320656871218</v>
          </cell>
          <cell r="BP8">
            <v>0.43559999999999999</v>
          </cell>
          <cell r="BQ8">
            <v>1.0349999999999999</v>
          </cell>
          <cell r="BR8">
            <v>0.59939999999999993</v>
          </cell>
          <cell r="BS8">
            <v>1101.9283746556473</v>
          </cell>
          <cell r="BT8">
            <v>463.768115942029</v>
          </cell>
          <cell r="BU8">
            <v>638.1602587136183</v>
          </cell>
          <cell r="BV8">
            <v>3.1013999999999995</v>
          </cell>
          <cell r="BW8">
            <v>2.004</v>
          </cell>
          <cell r="BX8">
            <v>-1.0973999999999995</v>
          </cell>
          <cell r="BY8">
            <v>154.7688140839621</v>
          </cell>
          <cell r="BZ8">
            <v>239.52095808383234</v>
          </cell>
          <cell r="CA8">
            <v>-84.752143999870242</v>
          </cell>
          <cell r="CB8">
            <v>0.17360000000000003</v>
          </cell>
          <cell r="CC8">
            <v>0.11</v>
          </cell>
          <cell r="CD8">
            <v>-6.3600000000000032E-2</v>
          </cell>
          <cell r="CE8">
            <v>2764.9769585253453</v>
          </cell>
          <cell r="CF8">
            <v>4363.636363636364</v>
          </cell>
          <cell r="CG8">
            <v>-1598.6594051110187</v>
          </cell>
          <cell r="CH8">
            <v>1.1478333333333335</v>
          </cell>
        </row>
        <row r="9">
          <cell r="A9" t="str">
            <v>2030R00116</v>
          </cell>
          <cell r="B9">
            <v>0.78300000000000003</v>
          </cell>
          <cell r="C9">
            <v>0.36899999999999999</v>
          </cell>
          <cell r="D9">
            <v>3.399</v>
          </cell>
          <cell r="E9">
            <v>0.17899999999999999</v>
          </cell>
          <cell r="F9">
            <v>1.2689999999999999</v>
          </cell>
          <cell r="G9">
            <v>0.74099999999999999</v>
          </cell>
          <cell r="H9">
            <v>0.35</v>
          </cell>
          <cell r="I9">
            <v>2.448</v>
          </cell>
          <cell r="J9">
            <v>0.185</v>
          </cell>
          <cell r="K9">
            <v>0.88700000000000001</v>
          </cell>
          <cell r="L9">
            <v>0.85399999999999998</v>
          </cell>
          <cell r="M9">
            <v>0.36499999999999999</v>
          </cell>
          <cell r="N9">
            <v>1.7330000000000001</v>
          </cell>
          <cell r="O9">
            <v>0.105</v>
          </cell>
          <cell r="P9">
            <v>1.044</v>
          </cell>
          <cell r="Q9">
            <v>0.93799999999999994</v>
          </cell>
          <cell r="R9">
            <v>0.40400000000000003</v>
          </cell>
          <cell r="S9">
            <v>2.194</v>
          </cell>
          <cell r="T9">
            <v>0.16200000000000001</v>
          </cell>
          <cell r="U9">
            <v>1.4359999999999999</v>
          </cell>
          <cell r="V9">
            <v>1.131</v>
          </cell>
          <cell r="W9">
            <v>0.47399999999999998</v>
          </cell>
          <cell r="X9">
            <v>1.9830000000000001</v>
          </cell>
          <cell r="Y9">
            <v>0.183</v>
          </cell>
          <cell r="Z9">
            <v>0.85899999999999999</v>
          </cell>
          <cell r="AA9">
            <v>0.95299999999999996</v>
          </cell>
          <cell r="AB9">
            <v>0.68300000000000005</v>
          </cell>
          <cell r="AC9">
            <v>2.9420000000000002</v>
          </cell>
          <cell r="AD9">
            <v>0.192</v>
          </cell>
          <cell r="AE9">
            <v>1.0880000000000001</v>
          </cell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>
            <v>0.9</v>
          </cell>
          <cell r="BK9">
            <v>0</v>
          </cell>
          <cell r="BL9">
            <v>-0.9</v>
          </cell>
          <cell r="BM9">
            <v>533.33333333333337</v>
          </cell>
          <cell r="BN9" t="str">
            <v>0</v>
          </cell>
          <cell r="BO9">
            <v>533.33333333333337</v>
          </cell>
          <cell r="BP9">
            <v>0.44083333333333335</v>
          </cell>
          <cell r="BQ9">
            <v>1.7170000000000001</v>
          </cell>
          <cell r="BR9">
            <v>1.2761666666666667</v>
          </cell>
          <cell r="BS9">
            <v>1088.8468809073725</v>
          </cell>
          <cell r="BT9">
            <v>279.55736750145604</v>
          </cell>
          <cell r="BU9">
            <v>809.28951340591641</v>
          </cell>
          <cell r="BV9">
            <v>2.4498333333333338</v>
          </cell>
          <cell r="BW9">
            <v>2.7389999999999999</v>
          </cell>
          <cell r="BX9">
            <v>0.28916666666666613</v>
          </cell>
          <cell r="BY9">
            <v>195.93169603374375</v>
          </cell>
          <cell r="BZ9">
            <v>175.24644030668128</v>
          </cell>
          <cell r="CA9">
            <v>20.685255727062469</v>
          </cell>
          <cell r="CB9">
            <v>0.16766666666666666</v>
          </cell>
          <cell r="CC9">
            <v>0.13600000000000001</v>
          </cell>
          <cell r="CD9">
            <v>-3.1666666666666649E-2</v>
          </cell>
          <cell r="CE9">
            <v>2862.8230616302189</v>
          </cell>
          <cell r="CF9">
            <v>3529.411764705882</v>
          </cell>
          <cell r="CG9">
            <v>-666.58870307566303</v>
          </cell>
          <cell r="CH9">
            <v>1.0971666666666666</v>
          </cell>
        </row>
        <row r="10">
          <cell r="A10" t="str">
            <v>2030R00123</v>
          </cell>
          <cell r="B10"/>
          <cell r="C10"/>
          <cell r="D10"/>
          <cell r="E10"/>
          <cell r="F10"/>
          <cell r="G10"/>
          <cell r="H10">
            <v>1.048</v>
          </cell>
          <cell r="I10">
            <v>4.048</v>
          </cell>
          <cell r="J10">
            <v>0.17199999999999999</v>
          </cell>
          <cell r="K10">
            <v>1.7430000000000001</v>
          </cell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 t="str">
            <v>0</v>
          </cell>
          <cell r="BK10">
            <v>0</v>
          </cell>
          <cell r="BL10">
            <v>0</v>
          </cell>
          <cell r="BM10" t="str">
            <v/>
          </cell>
          <cell r="BN10" t="str">
            <v>0</v>
          </cell>
          <cell r="BO10" t="str">
            <v/>
          </cell>
          <cell r="BP10">
            <v>1.048</v>
          </cell>
          <cell r="BQ10">
            <v>0.72399999999999998</v>
          </cell>
          <cell r="BR10">
            <v>-0.32400000000000007</v>
          </cell>
          <cell r="BS10">
            <v>458.01526717557249</v>
          </cell>
          <cell r="BT10">
            <v>662.98342541436466</v>
          </cell>
          <cell r="BU10">
            <v>-204.96815823879217</v>
          </cell>
          <cell r="BV10">
            <v>4.048</v>
          </cell>
          <cell r="BW10">
            <v>1.2170000000000001</v>
          </cell>
          <cell r="BX10">
            <v>-2.831</v>
          </cell>
          <cell r="BY10">
            <v>118.57707509881423</v>
          </cell>
          <cell r="BZ10">
            <v>394.41248972884136</v>
          </cell>
          <cell r="CA10">
            <v>-275.83541463002712</v>
          </cell>
          <cell r="CB10">
            <v>0.17199999999999999</v>
          </cell>
          <cell r="CC10">
            <v>3.2000000000000001E-2</v>
          </cell>
          <cell r="CD10">
            <v>-0.13999999999999999</v>
          </cell>
          <cell r="CE10">
            <v>2790.6976744186049</v>
          </cell>
          <cell r="CF10">
            <v>15000</v>
          </cell>
          <cell r="CG10">
            <v>-12209.302325581395</v>
          </cell>
          <cell r="CH10">
            <v>1.7430000000000001</v>
          </cell>
        </row>
        <row r="11">
          <cell r="A11" t="str">
            <v>2-6042897Z</v>
          </cell>
          <cell r="B11"/>
          <cell r="C11">
            <v>3.2450000000000001</v>
          </cell>
          <cell r="D11">
            <v>3.75</v>
          </cell>
          <cell r="E11">
            <v>0.184</v>
          </cell>
          <cell r="F11">
            <v>1.5309999999999999</v>
          </cell>
          <cell r="G11"/>
          <cell r="H11">
            <v>3.9409999999999998</v>
          </cell>
          <cell r="I11">
            <v>6.0650000000000004</v>
          </cell>
          <cell r="J11">
            <v>0.187</v>
          </cell>
          <cell r="K11">
            <v>1.5569999999999999</v>
          </cell>
          <cell r="L11"/>
          <cell r="M11">
            <v>4.2859999999999996</v>
          </cell>
          <cell r="N11">
            <v>3.9929999999999999</v>
          </cell>
          <cell r="O11"/>
          <cell r="P11">
            <v>4.2249999999999996</v>
          </cell>
          <cell r="Q11"/>
          <cell r="R11"/>
          <cell r="S11"/>
          <cell r="T11"/>
          <cell r="U11">
            <v>2.7069999999999999</v>
          </cell>
          <cell r="V11"/>
          <cell r="W11">
            <v>4.3360000000000003</v>
          </cell>
          <cell r="X11">
            <v>3.4079999999999999</v>
          </cell>
          <cell r="Y11">
            <v>0.16800000000000001</v>
          </cell>
          <cell r="Z11">
            <v>1.675</v>
          </cell>
          <cell r="AA11"/>
          <cell r="AB11">
            <v>3.9910000000000001</v>
          </cell>
          <cell r="AC11">
            <v>3.448</v>
          </cell>
          <cell r="AD11">
            <v>0.183</v>
          </cell>
          <cell r="AE11">
            <v>1.4259999999999999</v>
          </cell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 t="str">
            <v>0</v>
          </cell>
          <cell r="BK11">
            <v>0</v>
          </cell>
          <cell r="BL11">
            <v>0</v>
          </cell>
          <cell r="BM11" t="str">
            <v/>
          </cell>
          <cell r="BN11" t="str">
            <v>0</v>
          </cell>
          <cell r="BO11" t="str">
            <v/>
          </cell>
          <cell r="BP11">
            <v>3.9598</v>
          </cell>
          <cell r="BQ11">
            <v>5.05</v>
          </cell>
          <cell r="BR11">
            <v>1.0901999999999998</v>
          </cell>
          <cell r="BS11">
            <v>121.21824334562352</v>
          </cell>
          <cell r="BT11">
            <v>95.049504950495049</v>
          </cell>
          <cell r="BU11">
            <v>26.168738395128472</v>
          </cell>
          <cell r="BV11">
            <v>4.1328000000000005</v>
          </cell>
          <cell r="BW11">
            <v>4.6099999999999994</v>
          </cell>
          <cell r="BX11">
            <v>0.47719999999999896</v>
          </cell>
          <cell r="BY11">
            <v>116.14401858304296</v>
          </cell>
          <cell r="BZ11">
            <v>104.12147505422995</v>
          </cell>
          <cell r="CA11">
            <v>12.022543528813017</v>
          </cell>
          <cell r="CB11">
            <v>0.18049999999999999</v>
          </cell>
          <cell r="CC11">
            <v>0.1</v>
          </cell>
          <cell r="CD11">
            <v>-8.0499999999999988E-2</v>
          </cell>
          <cell r="CE11">
            <v>2659.279778393352</v>
          </cell>
          <cell r="CF11">
            <v>4800</v>
          </cell>
          <cell r="CG11">
            <v>-2140.720221606648</v>
          </cell>
          <cell r="CH11">
            <v>2.1868333333333334</v>
          </cell>
        </row>
        <row r="12">
          <cell r="A12" t="str">
            <v>2-6043317Z</v>
          </cell>
          <cell r="B12"/>
          <cell r="C12">
            <v>4.7469999999999999</v>
          </cell>
          <cell r="D12">
            <v>3.577</v>
          </cell>
          <cell r="E12">
            <v>0.16700000000000001</v>
          </cell>
          <cell r="F12">
            <v>1.1279999999999999</v>
          </cell>
          <cell r="G12"/>
          <cell r="H12"/>
          <cell r="I12"/>
          <cell r="J12"/>
          <cell r="K12"/>
          <cell r="L12"/>
          <cell r="M12">
            <v>5.8959999999999999</v>
          </cell>
          <cell r="N12">
            <v>1.899</v>
          </cell>
          <cell r="O12">
            <v>0.17100000000000001</v>
          </cell>
          <cell r="P12">
            <v>1.9239999999999999</v>
          </cell>
          <cell r="Q12"/>
          <cell r="R12">
            <v>6.0259999999999998</v>
          </cell>
          <cell r="S12">
            <v>3.629</v>
          </cell>
          <cell r="T12">
            <v>0.13800000000000001</v>
          </cell>
          <cell r="U12">
            <v>1.994</v>
          </cell>
          <cell r="V12"/>
          <cell r="W12">
            <v>5.4119999999999999</v>
          </cell>
          <cell r="X12">
            <v>4.4349999999999996</v>
          </cell>
          <cell r="Y12">
            <v>0.16300000000000001</v>
          </cell>
          <cell r="Z12">
            <v>1.7609999999999999</v>
          </cell>
          <cell r="AA12"/>
          <cell r="AB12">
            <v>5</v>
          </cell>
          <cell r="AC12">
            <v>3.415</v>
          </cell>
          <cell r="AD12">
            <v>0.16700000000000001</v>
          </cell>
          <cell r="AE12">
            <v>1.56</v>
          </cell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 t="str">
            <v>0</v>
          </cell>
          <cell r="BK12">
            <v>0</v>
          </cell>
          <cell r="BL12">
            <v>0</v>
          </cell>
          <cell r="BM12" t="str">
            <v/>
          </cell>
          <cell r="BN12" t="str">
            <v>0</v>
          </cell>
          <cell r="BO12" t="str">
            <v/>
          </cell>
          <cell r="BP12">
            <v>5.4161999999999999</v>
          </cell>
          <cell r="BQ12">
            <v>3.58</v>
          </cell>
          <cell r="BR12">
            <v>-1.8361999999999998</v>
          </cell>
          <cell r="BS12">
            <v>88.62301982940069</v>
          </cell>
          <cell r="BT12">
            <v>134.07821229050279</v>
          </cell>
          <cell r="BU12">
            <v>-45.455192461102101</v>
          </cell>
          <cell r="BV12">
            <v>3.3909999999999996</v>
          </cell>
          <cell r="BW12">
            <v>4.32</v>
          </cell>
          <cell r="BX12">
            <v>0.92900000000000071</v>
          </cell>
          <cell r="BY12">
            <v>141.55116484812743</v>
          </cell>
          <cell r="BZ12">
            <v>111.1111111111111</v>
          </cell>
          <cell r="CA12">
            <v>30.440053737016328</v>
          </cell>
          <cell r="CB12">
            <v>0.16120000000000001</v>
          </cell>
          <cell r="CC12">
            <v>0</v>
          </cell>
          <cell r="CD12">
            <v>-0.16120000000000001</v>
          </cell>
          <cell r="CE12">
            <v>2977.6674937965258</v>
          </cell>
          <cell r="CF12" t="str">
            <v>0</v>
          </cell>
          <cell r="CG12">
            <v>2977.6674937965258</v>
          </cell>
          <cell r="CH12">
            <v>1.6733999999999998</v>
          </cell>
        </row>
        <row r="13">
          <cell r="A13" t="str">
            <v>2-6044214Z</v>
          </cell>
          <cell r="B13"/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>
            <v>2.5350000000000001</v>
          </cell>
          <cell r="S13">
            <v>2.7749999999999999</v>
          </cell>
          <cell r="T13"/>
          <cell r="U13">
            <v>4.4400000000000004</v>
          </cell>
          <cell r="V13"/>
          <cell r="W13">
            <v>0.81599999999999995</v>
          </cell>
          <cell r="X13">
            <v>5.2030000000000003</v>
          </cell>
          <cell r="Y13"/>
          <cell r="Z13">
            <v>3.9449999999999998</v>
          </cell>
          <cell r="AA13"/>
          <cell r="AB13">
            <v>1.629</v>
          </cell>
          <cell r="AC13">
            <v>4.3280000000000003</v>
          </cell>
          <cell r="AD13"/>
          <cell r="AE13">
            <v>4.5750000000000002</v>
          </cell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 t="str">
            <v>0</v>
          </cell>
          <cell r="BK13">
            <v>0</v>
          </cell>
          <cell r="BL13">
            <v>0</v>
          </cell>
          <cell r="BM13" t="str">
            <v/>
          </cell>
          <cell r="BN13" t="str">
            <v>0</v>
          </cell>
          <cell r="BO13" t="str">
            <v/>
          </cell>
          <cell r="BP13">
            <v>1.6600000000000001</v>
          </cell>
          <cell r="BQ13">
            <v>5.4</v>
          </cell>
          <cell r="BR13">
            <v>3.74</v>
          </cell>
          <cell r="BS13">
            <v>289.15662650602405</v>
          </cell>
          <cell r="BT13">
            <v>88.888888888888886</v>
          </cell>
          <cell r="BU13">
            <v>200.26773761713517</v>
          </cell>
          <cell r="BV13">
            <v>4.1020000000000003</v>
          </cell>
          <cell r="BW13">
            <v>4.13</v>
          </cell>
          <cell r="BX13">
            <v>2.7999999999999581E-2</v>
          </cell>
          <cell r="BY13">
            <v>117.01608971233544</v>
          </cell>
          <cell r="BZ13">
            <v>116.22276029055691</v>
          </cell>
          <cell r="CA13">
            <v>0.79332942177853738</v>
          </cell>
          <cell r="CB13" t="str">
            <v>0</v>
          </cell>
          <cell r="CC13">
            <v>0</v>
          </cell>
          <cell r="CD13">
            <v>0</v>
          </cell>
          <cell r="CE13" t="str">
            <v/>
          </cell>
          <cell r="CF13" t="str">
            <v>0</v>
          </cell>
          <cell r="CG13" t="str">
            <v/>
          </cell>
          <cell r="CH13">
            <v>4.32</v>
          </cell>
        </row>
        <row r="14">
          <cell r="A14" t="str">
            <v>2-6044215Z</v>
          </cell>
          <cell r="B14"/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>
            <v>1.4870000000000001</v>
          </cell>
          <cell r="X14">
            <v>6.2249999999999996</v>
          </cell>
          <cell r="Y14"/>
          <cell r="Z14">
            <v>4.827</v>
          </cell>
          <cell r="AA14"/>
          <cell r="AB14">
            <v>2.2949999999999999</v>
          </cell>
          <cell r="AC14">
            <v>5.8860000000000001</v>
          </cell>
          <cell r="AD14"/>
          <cell r="AE14">
            <v>3.718</v>
          </cell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 t="str">
            <v>0</v>
          </cell>
          <cell r="BK14">
            <v>0</v>
          </cell>
          <cell r="BL14">
            <v>0</v>
          </cell>
          <cell r="BM14" t="str">
            <v/>
          </cell>
          <cell r="BN14" t="str">
            <v>0</v>
          </cell>
          <cell r="BO14" t="str">
            <v/>
          </cell>
          <cell r="BP14">
            <v>1.891</v>
          </cell>
          <cell r="BQ14">
            <v>4.97</v>
          </cell>
          <cell r="BR14">
            <v>3.0789999999999997</v>
          </cell>
          <cell r="BS14">
            <v>253.83395029085139</v>
          </cell>
          <cell r="BT14">
            <v>96.579476861167009</v>
          </cell>
          <cell r="BU14">
            <v>157.25447342968437</v>
          </cell>
          <cell r="BV14">
            <v>6.0555000000000003</v>
          </cell>
          <cell r="BW14">
            <v>5.52</v>
          </cell>
          <cell r="BX14">
            <v>-0.53550000000000075</v>
          </cell>
          <cell r="BY14">
            <v>79.266782264057468</v>
          </cell>
          <cell r="BZ14">
            <v>86.956521739130437</v>
          </cell>
          <cell r="CA14">
            <v>-7.6897394750729688</v>
          </cell>
          <cell r="CB14" t="str">
            <v>0</v>
          </cell>
          <cell r="CC14">
            <v>0.1</v>
          </cell>
          <cell r="CD14">
            <v>0.1</v>
          </cell>
          <cell r="CE14" t="str">
            <v/>
          </cell>
          <cell r="CF14">
            <v>4800</v>
          </cell>
          <cell r="CG14" t="str">
            <v/>
          </cell>
          <cell r="CH14">
            <v>4.2725</v>
          </cell>
        </row>
        <row r="15">
          <cell r="A15" t="str">
            <v>2-6044216Z</v>
          </cell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>
            <v>2.82</v>
          </cell>
          <cell r="AC15">
            <v>3.84</v>
          </cell>
          <cell r="AD15"/>
          <cell r="AE15">
            <v>3.6</v>
          </cell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  <cell r="CE15"/>
          <cell r="CF15"/>
          <cell r="CG15"/>
          <cell r="CH15"/>
        </row>
        <row r="16">
          <cell r="A16" t="str">
            <v>2-6044393Z</v>
          </cell>
          <cell r="B16"/>
          <cell r="C16"/>
          <cell r="D16"/>
          <cell r="E16"/>
          <cell r="F16"/>
          <cell r="G16"/>
          <cell r="H16">
            <v>11.25</v>
          </cell>
          <cell r="I16">
            <v>6.8209999999999997</v>
          </cell>
          <cell r="J16">
            <v>0.17499999999999999</v>
          </cell>
          <cell r="K16"/>
          <cell r="L16"/>
          <cell r="M16"/>
          <cell r="N16"/>
          <cell r="O16"/>
          <cell r="P16">
            <v>1.3640000000000001</v>
          </cell>
          <cell r="Q16"/>
          <cell r="R16">
            <v>11.063000000000001</v>
          </cell>
          <cell r="S16"/>
          <cell r="T16"/>
          <cell r="U16"/>
          <cell r="V16"/>
          <cell r="W16">
            <v>10.141</v>
          </cell>
          <cell r="X16">
            <v>5.6909999999999998</v>
          </cell>
          <cell r="Y16">
            <v>0.217</v>
          </cell>
          <cell r="Z16">
            <v>2.5790000000000002</v>
          </cell>
          <cell r="AA16"/>
          <cell r="AB16">
            <v>10.539</v>
          </cell>
          <cell r="AC16">
            <v>7.0129999999999999</v>
          </cell>
          <cell r="AD16">
            <v>0.17799999999999999</v>
          </cell>
          <cell r="AE16">
            <v>1.7509999999999999</v>
          </cell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 t="str">
            <v>0</v>
          </cell>
          <cell r="BK16">
            <v>0</v>
          </cell>
          <cell r="BL16">
            <v>0</v>
          </cell>
          <cell r="BM16" t="str">
            <v/>
          </cell>
          <cell r="BN16" t="str">
            <v>0</v>
          </cell>
          <cell r="BO16" t="str">
            <v/>
          </cell>
          <cell r="BP16">
            <v>10.748250000000001</v>
          </cell>
          <cell r="BQ16">
            <v>20.399999999999999</v>
          </cell>
          <cell r="BR16">
            <v>9.6517499999999981</v>
          </cell>
          <cell r="BS16">
            <v>44.658432768125039</v>
          </cell>
          <cell r="BT16">
            <v>23.529411764705884</v>
          </cell>
          <cell r="BU16">
            <v>21.129021003419155</v>
          </cell>
          <cell r="BV16">
            <v>6.5083333333333329</v>
          </cell>
          <cell r="BW16">
            <v>4.33</v>
          </cell>
          <cell r="BX16">
            <v>-2.1783333333333328</v>
          </cell>
          <cell r="BY16">
            <v>73.751600512163904</v>
          </cell>
          <cell r="BZ16">
            <v>110.85450346420323</v>
          </cell>
          <cell r="CA16">
            <v>-37.102902952039329</v>
          </cell>
          <cell r="CB16">
            <v>0.19000000000000003</v>
          </cell>
          <cell r="CC16">
            <v>0.25</v>
          </cell>
          <cell r="CD16">
            <v>5.999999999999997E-2</v>
          </cell>
          <cell r="CE16">
            <v>2526.3157894736837</v>
          </cell>
          <cell r="CF16">
            <v>1920</v>
          </cell>
          <cell r="CG16">
            <v>606.31578947368371</v>
          </cell>
          <cell r="CH16">
            <v>1.8980000000000004</v>
          </cell>
        </row>
        <row r="17">
          <cell r="A17" t="str">
            <v>350P811A10</v>
          </cell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>
            <v>4.4509999999999996</v>
          </cell>
          <cell r="S17"/>
          <cell r="T17"/>
          <cell r="U17"/>
          <cell r="V17"/>
          <cell r="W17">
            <v>6.0629999999999997</v>
          </cell>
          <cell r="X17">
            <v>5.4690000000000003</v>
          </cell>
          <cell r="Y17">
            <v>0.23300000000000001</v>
          </cell>
          <cell r="Z17">
            <v>2.2429999999999999</v>
          </cell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 t="str">
            <v>0</v>
          </cell>
          <cell r="BK17">
            <v>0</v>
          </cell>
          <cell r="BL17">
            <v>0</v>
          </cell>
          <cell r="BM17" t="str">
            <v/>
          </cell>
          <cell r="BN17" t="str">
            <v>0</v>
          </cell>
          <cell r="BO17" t="str">
            <v/>
          </cell>
          <cell r="BP17">
            <v>5.2569999999999997</v>
          </cell>
          <cell r="BQ17">
            <v>6.673</v>
          </cell>
          <cell r="BR17">
            <v>1.4160000000000004</v>
          </cell>
          <cell r="BS17">
            <v>91.306828989918216</v>
          </cell>
          <cell r="BT17">
            <v>71.931664918327584</v>
          </cell>
          <cell r="BU17">
            <v>19.375164071590632</v>
          </cell>
          <cell r="BV17">
            <v>5.4690000000000003</v>
          </cell>
          <cell r="BW17">
            <v>5.5819999999999999</v>
          </cell>
          <cell r="BX17">
            <v>0.11299999999999955</v>
          </cell>
          <cell r="BY17">
            <v>0</v>
          </cell>
          <cell r="BZ17">
            <v>85.990684342529562</v>
          </cell>
          <cell r="CA17">
            <v>-85.990684342529562</v>
          </cell>
          <cell r="CB17">
            <v>0.23300000000000001</v>
          </cell>
          <cell r="CC17">
            <v>0.1</v>
          </cell>
          <cell r="CD17">
            <v>-0.13300000000000001</v>
          </cell>
          <cell r="CE17">
            <v>2060.085836909871</v>
          </cell>
          <cell r="CF17">
            <v>4800</v>
          </cell>
          <cell r="CG17">
            <v>-2739.914163090129</v>
          </cell>
          <cell r="CH17">
            <v>2.2429999999999999</v>
          </cell>
        </row>
        <row r="18">
          <cell r="A18" t="str">
            <v>3E750451-1</v>
          </cell>
          <cell r="B18"/>
          <cell r="C18">
            <v>0.92800000000000005</v>
          </cell>
          <cell r="D18">
            <v>2.0379999999999998</v>
          </cell>
          <cell r="E18">
            <v>0.16400000000000001</v>
          </cell>
          <cell r="F18">
            <v>0.78400000000000003</v>
          </cell>
          <cell r="G18"/>
          <cell r="H18">
            <v>1.0169999999999999</v>
          </cell>
          <cell r="I18">
            <v>2.5219999999999998</v>
          </cell>
          <cell r="J18">
            <v>0.183</v>
          </cell>
          <cell r="K18">
            <v>0.70299999999999996</v>
          </cell>
          <cell r="L18"/>
          <cell r="M18">
            <v>0.89700000000000002</v>
          </cell>
          <cell r="N18">
            <v>1.319</v>
          </cell>
          <cell r="O18">
            <v>0.17</v>
          </cell>
          <cell r="P18">
            <v>0.86099999999999999</v>
          </cell>
          <cell r="Q18"/>
          <cell r="R18">
            <v>0.79700000000000004</v>
          </cell>
          <cell r="S18">
            <v>1.1120000000000001</v>
          </cell>
          <cell r="T18">
            <v>0.17599999999999999</v>
          </cell>
          <cell r="U18">
            <v>0.76800000000000002</v>
          </cell>
          <cell r="V18"/>
          <cell r="W18">
            <v>0.75600000000000001</v>
          </cell>
          <cell r="X18">
            <v>1.04</v>
          </cell>
          <cell r="Y18">
            <v>0.17699999999999999</v>
          </cell>
          <cell r="Z18">
            <v>0.76900000000000002</v>
          </cell>
          <cell r="AA18"/>
          <cell r="AB18">
            <v>1.077</v>
          </cell>
          <cell r="AC18">
            <v>1.385</v>
          </cell>
          <cell r="AD18">
            <v>0.183</v>
          </cell>
          <cell r="AE18">
            <v>0.60299999999999998</v>
          </cell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 t="str">
            <v>0</v>
          </cell>
          <cell r="BK18">
            <v>0</v>
          </cell>
          <cell r="BL18">
            <v>0</v>
          </cell>
          <cell r="BM18" t="str">
            <v/>
          </cell>
          <cell r="BN18" t="str">
            <v>0</v>
          </cell>
          <cell r="BO18" t="str">
            <v/>
          </cell>
          <cell r="BP18">
            <v>0.91199999999999992</v>
          </cell>
          <cell r="BQ18">
            <v>0.75</v>
          </cell>
          <cell r="BR18">
            <v>-0.16199999999999992</v>
          </cell>
          <cell r="BS18">
            <v>526.31578947368428</v>
          </cell>
          <cell r="BT18">
            <v>640</v>
          </cell>
          <cell r="BU18">
            <v>-113.68421052631572</v>
          </cell>
          <cell r="BV18">
            <v>1.569333333333333</v>
          </cell>
          <cell r="BW18">
            <v>1.45</v>
          </cell>
          <cell r="BX18">
            <v>-0.11933333333333307</v>
          </cell>
          <cell r="BY18">
            <v>305.86236193712836</v>
          </cell>
          <cell r="BZ18">
            <v>331.0344827586207</v>
          </cell>
          <cell r="CA18">
            <v>-25.172120821492342</v>
          </cell>
          <cell r="CB18">
            <v>0.17550000000000002</v>
          </cell>
          <cell r="CC18">
            <v>0</v>
          </cell>
          <cell r="CD18">
            <v>-0.17550000000000002</v>
          </cell>
          <cell r="CE18">
            <v>2735.0427350427349</v>
          </cell>
          <cell r="CF18" t="str">
            <v>0</v>
          </cell>
          <cell r="CG18">
            <v>2735.0427350427349</v>
          </cell>
          <cell r="CH18">
            <v>0.74799999999999989</v>
          </cell>
        </row>
        <row r="19">
          <cell r="A19" t="str">
            <v>3E750484-1</v>
          </cell>
          <cell r="B19"/>
          <cell r="C19">
            <v>1.1399999999999999</v>
          </cell>
          <cell r="D19">
            <v>3.4220000000000002</v>
          </cell>
          <cell r="E19">
            <v>0.15</v>
          </cell>
          <cell r="F19">
            <v>2.621</v>
          </cell>
          <cell r="G19"/>
          <cell r="H19">
            <v>1.829</v>
          </cell>
          <cell r="I19">
            <v>2.4649999999999999</v>
          </cell>
          <cell r="J19">
            <v>0.184</v>
          </cell>
          <cell r="K19">
            <v>1.61</v>
          </cell>
          <cell r="L19"/>
          <cell r="M19">
            <v>1.196</v>
          </cell>
          <cell r="N19">
            <v>2.9409999999999998</v>
          </cell>
          <cell r="O19">
            <v>0.21099999999999999</v>
          </cell>
          <cell r="P19">
            <v>1.288</v>
          </cell>
          <cell r="Q19"/>
          <cell r="R19">
            <v>0.97799999999999998</v>
          </cell>
          <cell r="S19">
            <v>2.8730000000000002</v>
          </cell>
          <cell r="T19">
            <v>0.17299999999999999</v>
          </cell>
          <cell r="U19">
            <v>1.3180000000000001</v>
          </cell>
          <cell r="V19"/>
          <cell r="W19">
            <v>1.0920000000000001</v>
          </cell>
          <cell r="X19">
            <v>3.778</v>
          </cell>
          <cell r="Y19">
            <v>0.186</v>
          </cell>
          <cell r="Z19">
            <v>1.2969999999999999</v>
          </cell>
          <cell r="AA19"/>
          <cell r="AB19">
            <v>1.224</v>
          </cell>
          <cell r="AC19">
            <v>2.61</v>
          </cell>
          <cell r="AD19">
            <v>0.193</v>
          </cell>
          <cell r="AE19">
            <v>0.80400000000000005</v>
          </cell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 t="str">
            <v>0</v>
          </cell>
          <cell r="BK19">
            <v>0</v>
          </cell>
          <cell r="BL19">
            <v>0</v>
          </cell>
          <cell r="BM19" t="str">
            <v/>
          </cell>
          <cell r="BN19" t="str">
            <v>0</v>
          </cell>
          <cell r="BO19" t="str">
            <v/>
          </cell>
          <cell r="BP19">
            <v>1.2431666666666665</v>
          </cell>
          <cell r="BQ19">
            <v>0.97</v>
          </cell>
          <cell r="BR19">
            <v>-0.27316666666666656</v>
          </cell>
          <cell r="BS19">
            <v>386.11073870492027</v>
          </cell>
          <cell r="BT19">
            <v>494.84536082474227</v>
          </cell>
          <cell r="BU19">
            <v>-108.73462211982201</v>
          </cell>
          <cell r="BV19">
            <v>3.0148333333333337</v>
          </cell>
          <cell r="BW19">
            <v>1.93</v>
          </cell>
          <cell r="BX19">
            <v>-1.0848333333333338</v>
          </cell>
          <cell r="BY19">
            <v>159.21278124827242</v>
          </cell>
          <cell r="BZ19">
            <v>248.70466321243524</v>
          </cell>
          <cell r="CA19">
            <v>-89.491881964162815</v>
          </cell>
          <cell r="CB19">
            <v>0.18283333333333332</v>
          </cell>
          <cell r="CC19">
            <v>0</v>
          </cell>
          <cell r="CD19">
            <v>-0.18283333333333332</v>
          </cell>
          <cell r="CE19">
            <v>2625.3418413855975</v>
          </cell>
          <cell r="CF19" t="str">
            <v>0</v>
          </cell>
          <cell r="CG19">
            <v>2625.3418413855975</v>
          </cell>
          <cell r="CH19">
            <v>1.4896666666666667</v>
          </cell>
        </row>
        <row r="20">
          <cell r="A20" t="str">
            <v>3E750492-1</v>
          </cell>
          <cell r="B20"/>
          <cell r="C20">
            <v>0.84699999999999998</v>
          </cell>
          <cell r="D20">
            <v>4.0179999999999998</v>
          </cell>
          <cell r="E20"/>
          <cell r="F20">
            <v>3.1059999999999999</v>
          </cell>
          <cell r="G20"/>
          <cell r="H20">
            <v>0.745</v>
          </cell>
          <cell r="I20"/>
          <cell r="J20"/>
          <cell r="K20"/>
          <cell r="L20"/>
          <cell r="M20"/>
          <cell r="N20">
            <v>4.3070000000000004</v>
          </cell>
          <cell r="O20">
            <v>0.628</v>
          </cell>
          <cell r="P20">
            <v>2.5609999999999999</v>
          </cell>
          <cell r="Q20"/>
          <cell r="R20">
            <v>0.89200000000000002</v>
          </cell>
          <cell r="S20">
            <v>4.9320000000000004</v>
          </cell>
          <cell r="T20">
            <v>0.376</v>
          </cell>
          <cell r="U20">
            <v>4.1109999999999998</v>
          </cell>
          <cell r="V20"/>
          <cell r="W20">
            <v>1.103</v>
          </cell>
          <cell r="X20">
            <v>4.3890000000000002</v>
          </cell>
          <cell r="Y20">
            <v>0.33100000000000002</v>
          </cell>
          <cell r="Z20">
            <v>2.903</v>
          </cell>
          <cell r="AA20"/>
          <cell r="AB20">
            <v>0.93100000000000005</v>
          </cell>
          <cell r="AC20">
            <v>6.516</v>
          </cell>
          <cell r="AD20">
            <v>0.29599999999999999</v>
          </cell>
          <cell r="AE20">
            <v>2.3140000000000001</v>
          </cell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 t="str">
            <v>0</v>
          </cell>
          <cell r="BK20">
            <v>0</v>
          </cell>
          <cell r="BL20">
            <v>0</v>
          </cell>
          <cell r="BM20" t="str">
            <v/>
          </cell>
          <cell r="BN20" t="str">
            <v>0</v>
          </cell>
          <cell r="BO20" t="str">
            <v/>
          </cell>
          <cell r="BP20">
            <v>0.90359999999999996</v>
          </cell>
          <cell r="BQ20">
            <v>1.19</v>
          </cell>
          <cell r="BR20">
            <v>0.28639999999999999</v>
          </cell>
          <cell r="BS20">
            <v>531.20849933598936</v>
          </cell>
          <cell r="BT20">
            <v>403.36134453781517</v>
          </cell>
          <cell r="BU20">
            <v>127.84715479817419</v>
          </cell>
          <cell r="BV20">
            <v>4.8323999999999998</v>
          </cell>
          <cell r="BW20">
            <v>5.09</v>
          </cell>
          <cell r="BX20">
            <v>0.25760000000000005</v>
          </cell>
          <cell r="BY20">
            <v>99.329525701514783</v>
          </cell>
          <cell r="BZ20">
            <v>94.302554027504911</v>
          </cell>
          <cell r="CA20">
            <v>5.0269716740098715</v>
          </cell>
          <cell r="CB20">
            <v>0.40775</v>
          </cell>
          <cell r="CC20">
            <v>0</v>
          </cell>
          <cell r="CD20">
            <v>-0.40775</v>
          </cell>
          <cell r="CE20">
            <v>1177.1919068056407</v>
          </cell>
          <cell r="CF20" t="str">
            <v>0</v>
          </cell>
          <cell r="CG20">
            <v>1177.1919068056407</v>
          </cell>
          <cell r="CH20">
            <v>2.9989999999999997</v>
          </cell>
        </row>
        <row r="21">
          <cell r="A21" t="str">
            <v>3EB75171-1</v>
          </cell>
          <cell r="B21"/>
          <cell r="C21">
            <v>1.722</v>
          </cell>
          <cell r="D21">
            <v>1.304</v>
          </cell>
          <cell r="E21">
            <v>0.16700000000000001</v>
          </cell>
          <cell r="F21">
            <v>1.0880000000000001</v>
          </cell>
          <cell r="G21"/>
          <cell r="H21">
            <v>1.5229999999999999</v>
          </cell>
          <cell r="I21">
            <v>1.7609999999999999</v>
          </cell>
          <cell r="J21">
            <v>0.17299999999999999</v>
          </cell>
          <cell r="K21">
            <v>1.1299999999999999</v>
          </cell>
          <cell r="L21"/>
          <cell r="M21">
            <v>1.89</v>
          </cell>
          <cell r="N21">
            <v>1.7250000000000001</v>
          </cell>
          <cell r="O21">
            <v>0.182</v>
          </cell>
          <cell r="P21">
            <v>1.0029999999999999</v>
          </cell>
          <cell r="Q21"/>
          <cell r="R21">
            <v>1.3109999999999999</v>
          </cell>
          <cell r="S21">
            <v>1.101</v>
          </cell>
          <cell r="T21">
            <v>0.16500000000000001</v>
          </cell>
          <cell r="U21">
            <v>0.75600000000000001</v>
          </cell>
          <cell r="V21"/>
          <cell r="W21">
            <v>1.5629999999999999</v>
          </cell>
          <cell r="X21">
            <v>1.4930000000000001</v>
          </cell>
          <cell r="Y21">
            <v>0.16600000000000001</v>
          </cell>
          <cell r="Z21">
            <v>0.76900000000000002</v>
          </cell>
          <cell r="AA21"/>
          <cell r="AB21"/>
          <cell r="AC21"/>
          <cell r="AD21"/>
          <cell r="AE21">
            <v>0.79400000000000004</v>
          </cell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 t="str">
            <v>0</v>
          </cell>
          <cell r="BK21">
            <v>0</v>
          </cell>
          <cell r="BL21">
            <v>0</v>
          </cell>
          <cell r="BM21" t="str">
            <v/>
          </cell>
          <cell r="BN21" t="str">
            <v>0</v>
          </cell>
          <cell r="BO21" t="str">
            <v/>
          </cell>
          <cell r="BP21">
            <v>1.6018000000000001</v>
          </cell>
          <cell r="BQ21">
            <v>1.3</v>
          </cell>
          <cell r="BR21">
            <v>-0.30180000000000007</v>
          </cell>
          <cell r="BS21">
            <v>299.66287926083152</v>
          </cell>
          <cell r="BT21">
            <v>369.23076923076923</v>
          </cell>
          <cell r="BU21">
            <v>-69.56788996993771</v>
          </cell>
          <cell r="BV21">
            <v>1.4768000000000001</v>
          </cell>
          <cell r="BW21">
            <v>1.8599999999999999</v>
          </cell>
          <cell r="BX21">
            <v>0.38319999999999976</v>
          </cell>
          <cell r="BY21">
            <v>325.02708559046584</v>
          </cell>
          <cell r="BZ21">
            <v>258.06451612903226</v>
          </cell>
          <cell r="CA21">
            <v>66.962569461433588</v>
          </cell>
          <cell r="CB21">
            <v>0.17060000000000003</v>
          </cell>
          <cell r="CC21">
            <v>0</v>
          </cell>
          <cell r="CD21">
            <v>-0.17060000000000003</v>
          </cell>
          <cell r="CE21">
            <v>2813.5990621336455</v>
          </cell>
          <cell r="CF21" t="str">
            <v>0</v>
          </cell>
          <cell r="CG21">
            <v>2813.5990621336455</v>
          </cell>
          <cell r="CH21">
            <v>0.92333333333333345</v>
          </cell>
        </row>
        <row r="22">
          <cell r="A22" t="str">
            <v>3EB75172-1</v>
          </cell>
          <cell r="B22"/>
          <cell r="C22">
            <v>1.736</v>
          </cell>
          <cell r="D22">
            <v>1.3320000000000001</v>
          </cell>
          <cell r="E22">
            <v>0.16500000000000001</v>
          </cell>
          <cell r="F22">
            <v>0.91700000000000004</v>
          </cell>
          <cell r="G22"/>
          <cell r="H22">
            <v>1.84</v>
          </cell>
          <cell r="I22">
            <v>1.2509999999999999</v>
          </cell>
          <cell r="J22">
            <v>0.20399999999999999</v>
          </cell>
          <cell r="K22">
            <v>0.94399999999999995</v>
          </cell>
          <cell r="L22"/>
          <cell r="M22">
            <v>1.7170000000000001</v>
          </cell>
          <cell r="N22">
            <v>1.2350000000000001</v>
          </cell>
          <cell r="O22">
            <v>0.17199999999999999</v>
          </cell>
          <cell r="P22">
            <v>0.90400000000000003</v>
          </cell>
          <cell r="Q22"/>
          <cell r="R22">
            <v>1.5069999999999999</v>
          </cell>
          <cell r="S22">
            <v>1.1240000000000001</v>
          </cell>
          <cell r="T22">
            <v>0.17499999999999999</v>
          </cell>
          <cell r="U22">
            <v>0.81599999999999995</v>
          </cell>
          <cell r="V22"/>
          <cell r="W22">
            <v>1.5569999999999999</v>
          </cell>
          <cell r="X22">
            <v>1.33</v>
          </cell>
          <cell r="Y22">
            <v>0.16800000000000001</v>
          </cell>
          <cell r="Z22">
            <v>0.83799999999999997</v>
          </cell>
          <cell r="AA22"/>
          <cell r="AB22">
            <v>1.5660000000000001</v>
          </cell>
          <cell r="AC22">
            <v>1.468</v>
          </cell>
          <cell r="AD22">
            <v>0.17499999999999999</v>
          </cell>
          <cell r="AE22">
            <v>0.38</v>
          </cell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 t="str">
            <v>0</v>
          </cell>
          <cell r="BK22">
            <v>0</v>
          </cell>
          <cell r="BL22">
            <v>0</v>
          </cell>
          <cell r="BM22" t="str">
            <v/>
          </cell>
          <cell r="BN22" t="str">
            <v>0</v>
          </cell>
          <cell r="BO22" t="str">
            <v/>
          </cell>
          <cell r="BP22">
            <v>1.6538333333333333</v>
          </cell>
          <cell r="BQ22">
            <v>1.25</v>
          </cell>
          <cell r="BR22">
            <v>-0.40383333333333327</v>
          </cell>
          <cell r="BS22">
            <v>290.23480802176761</v>
          </cell>
          <cell r="BT22">
            <v>384</v>
          </cell>
          <cell r="BU22">
            <v>-93.765191978232394</v>
          </cell>
          <cell r="BV22">
            <v>1.29</v>
          </cell>
          <cell r="BW22">
            <v>1.8599999999999999</v>
          </cell>
          <cell r="BX22">
            <v>0.56999999999999984</v>
          </cell>
          <cell r="BY22">
            <v>372.09302325581393</v>
          </cell>
          <cell r="BZ22">
            <v>258.06451612903226</v>
          </cell>
          <cell r="CA22">
            <v>114.02850712678168</v>
          </cell>
          <cell r="CB22">
            <v>0.17649999999999999</v>
          </cell>
          <cell r="CC22">
            <v>0</v>
          </cell>
          <cell r="CD22">
            <v>-0.17649999999999999</v>
          </cell>
          <cell r="CE22">
            <v>2719.5467422096317</v>
          </cell>
          <cell r="CF22" t="str">
            <v>0</v>
          </cell>
          <cell r="CG22">
            <v>2719.5467422096317</v>
          </cell>
          <cell r="CH22">
            <v>0.79983333333333329</v>
          </cell>
        </row>
        <row r="23">
          <cell r="A23" t="str">
            <v>3EB75180-1</v>
          </cell>
          <cell r="B23"/>
          <cell r="C23">
            <v>1.7829999999999999</v>
          </cell>
          <cell r="D23">
            <v>1.3819999999999999</v>
          </cell>
          <cell r="E23">
            <v>0.17399999999999999</v>
          </cell>
          <cell r="F23">
            <v>0.85899999999999999</v>
          </cell>
          <cell r="G23"/>
          <cell r="H23">
            <v>1.778</v>
          </cell>
          <cell r="I23">
            <v>2.0259999999999998</v>
          </cell>
          <cell r="J23">
            <v>0.24399999999999999</v>
          </cell>
          <cell r="K23">
            <v>1.0169999999999999</v>
          </cell>
          <cell r="L23"/>
          <cell r="M23"/>
          <cell r="N23"/>
          <cell r="O23"/>
          <cell r="P23"/>
          <cell r="Q23"/>
          <cell r="R23">
            <v>1.3109999999999999</v>
          </cell>
          <cell r="S23">
            <v>1.2749999999999999</v>
          </cell>
          <cell r="T23">
            <v>0.183</v>
          </cell>
          <cell r="U23">
            <v>0.72599999999999998</v>
          </cell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 t="str">
            <v>0</v>
          </cell>
          <cell r="BK23">
            <v>0</v>
          </cell>
          <cell r="BL23">
            <v>0</v>
          </cell>
          <cell r="BM23" t="str">
            <v/>
          </cell>
          <cell r="BN23" t="str">
            <v>0</v>
          </cell>
          <cell r="BO23" t="str">
            <v/>
          </cell>
          <cell r="BP23">
            <v>1.6239999999999999</v>
          </cell>
          <cell r="BQ23">
            <v>1.24</v>
          </cell>
          <cell r="BR23">
            <v>-0.3839999999999999</v>
          </cell>
          <cell r="BS23">
            <v>295.56650246305423</v>
          </cell>
          <cell r="BT23">
            <v>387.09677419354841</v>
          </cell>
          <cell r="BU23">
            <v>-91.530271730494178</v>
          </cell>
          <cell r="BV23">
            <v>1.5609999999999999</v>
          </cell>
          <cell r="BW23">
            <v>1.8599999999999999</v>
          </cell>
          <cell r="BX23">
            <v>0.29899999999999993</v>
          </cell>
          <cell r="BY23">
            <v>307.4951953875721</v>
          </cell>
          <cell r="BZ23">
            <v>258.06451612903226</v>
          </cell>
          <cell r="CA23">
            <v>49.43067925853984</v>
          </cell>
          <cell r="CB23">
            <v>0.20033333333333334</v>
          </cell>
          <cell r="CC23">
            <v>0</v>
          </cell>
          <cell r="CD23">
            <v>-0.20033333333333334</v>
          </cell>
          <cell r="CE23">
            <v>2396.0066555740432</v>
          </cell>
          <cell r="CF23" t="str">
            <v>0</v>
          </cell>
          <cell r="CG23">
            <v>2396.0066555740432</v>
          </cell>
          <cell r="CH23">
            <v>0.86733333333333329</v>
          </cell>
        </row>
        <row r="24">
          <cell r="A24" t="str">
            <v>3EB75181-1</v>
          </cell>
          <cell r="B24"/>
          <cell r="C24">
            <v>2.036</v>
          </cell>
          <cell r="D24">
            <v>1.163</v>
          </cell>
          <cell r="E24">
            <v>0.17599999999999999</v>
          </cell>
          <cell r="F24">
            <v>0.89800000000000002</v>
          </cell>
          <cell r="G24"/>
          <cell r="H24"/>
          <cell r="I24"/>
          <cell r="J24"/>
          <cell r="K24"/>
          <cell r="L24"/>
          <cell r="M24">
            <v>1.4510000000000001</v>
          </cell>
          <cell r="N24"/>
          <cell r="O24"/>
          <cell r="P24"/>
          <cell r="Q24"/>
          <cell r="R24">
            <v>1.7310000000000001</v>
          </cell>
          <cell r="S24">
            <v>1.2609999999999999</v>
          </cell>
          <cell r="T24">
            <v>0.16500000000000001</v>
          </cell>
          <cell r="U24">
            <v>0.83</v>
          </cell>
          <cell r="V24"/>
          <cell r="W24">
            <v>1.5609999999999999</v>
          </cell>
          <cell r="X24">
            <v>1.66</v>
          </cell>
          <cell r="Y24">
            <v>0.17299999999999999</v>
          </cell>
          <cell r="Z24">
            <v>1.008</v>
          </cell>
          <cell r="AA24"/>
          <cell r="AB24">
            <v>1.901</v>
          </cell>
          <cell r="AC24">
            <v>1.581</v>
          </cell>
          <cell r="AD24">
            <v>0.19400000000000001</v>
          </cell>
          <cell r="AE24">
            <v>0.9</v>
          </cell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 t="str">
            <v>0</v>
          </cell>
          <cell r="BK24">
            <v>0</v>
          </cell>
          <cell r="BL24">
            <v>0</v>
          </cell>
          <cell r="BM24" t="str">
            <v/>
          </cell>
          <cell r="BN24" t="str">
            <v>0</v>
          </cell>
          <cell r="BO24" t="str">
            <v/>
          </cell>
          <cell r="BP24">
            <v>1.736</v>
          </cell>
          <cell r="BQ24">
            <v>1.23</v>
          </cell>
          <cell r="BR24">
            <v>-0.50600000000000001</v>
          </cell>
          <cell r="BS24">
            <v>276.49769585253455</v>
          </cell>
          <cell r="BT24">
            <v>390.2439024390244</v>
          </cell>
          <cell r="BU24">
            <v>-113.74620658648985</v>
          </cell>
          <cell r="BV24">
            <v>1.4162499999999998</v>
          </cell>
          <cell r="BW24">
            <v>1.8599999999999999</v>
          </cell>
          <cell r="BX24">
            <v>0.44375000000000009</v>
          </cell>
          <cell r="BY24">
            <v>338.92321270962054</v>
          </cell>
          <cell r="BZ24">
            <v>258.06451612903226</v>
          </cell>
          <cell r="CA24">
            <v>80.858696580588287</v>
          </cell>
          <cell r="CB24">
            <v>0.17699999999999999</v>
          </cell>
          <cell r="CC24">
            <v>0</v>
          </cell>
          <cell r="CD24">
            <v>-0.17699999999999999</v>
          </cell>
          <cell r="CE24">
            <v>2711.8644067796613</v>
          </cell>
          <cell r="CF24" t="str">
            <v>0</v>
          </cell>
          <cell r="CG24">
            <v>2711.8644067796613</v>
          </cell>
          <cell r="CH24">
            <v>0.90899999999999992</v>
          </cell>
        </row>
        <row r="25">
          <cell r="A25" t="str">
            <v>3FD-224-001</v>
          </cell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>
            <v>4.2300000000000004</v>
          </cell>
          <cell r="X25">
            <v>3.3420000000000001</v>
          </cell>
          <cell r="Y25">
            <v>0.19700000000000001</v>
          </cell>
          <cell r="Z25">
            <v>1.335</v>
          </cell>
          <cell r="AA25"/>
          <cell r="AB25">
            <v>7.0670000000000002</v>
          </cell>
          <cell r="AC25">
            <v>4.8129999999999997</v>
          </cell>
          <cell r="AD25">
            <v>0.155</v>
          </cell>
          <cell r="AE25">
            <v>1.5149999999999999</v>
          </cell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 t="str">
            <v>0</v>
          </cell>
          <cell r="BK25">
            <v>0</v>
          </cell>
          <cell r="BL25">
            <v>0</v>
          </cell>
          <cell r="BM25" t="str">
            <v/>
          </cell>
          <cell r="BN25" t="str">
            <v>0</v>
          </cell>
          <cell r="BO25" t="str">
            <v/>
          </cell>
          <cell r="BP25">
            <v>5.6485000000000003</v>
          </cell>
          <cell r="BQ25">
            <v>0</v>
          </cell>
          <cell r="BR25">
            <v>-5.6485000000000003</v>
          </cell>
          <cell r="BS25">
            <v>84.978312826414083</v>
          </cell>
          <cell r="BT25" t="str">
            <v>0</v>
          </cell>
          <cell r="BU25">
            <v>84.978312826414083</v>
          </cell>
          <cell r="BV25">
            <v>4.0774999999999997</v>
          </cell>
          <cell r="BW25">
            <v>0</v>
          </cell>
          <cell r="BX25">
            <v>-4.0774999999999997</v>
          </cell>
          <cell r="BY25">
            <v>117.71919068056408</v>
          </cell>
          <cell r="BZ25" t="str">
            <v>0</v>
          </cell>
          <cell r="CA25">
            <v>117.71919068056408</v>
          </cell>
          <cell r="CB25">
            <v>0.17599999999999999</v>
          </cell>
          <cell r="CC25">
            <v>0</v>
          </cell>
          <cell r="CD25">
            <v>-0.17599999999999999</v>
          </cell>
          <cell r="CE25">
            <v>2727.2727272727275</v>
          </cell>
          <cell r="CF25" t="str">
            <v>0</v>
          </cell>
          <cell r="CG25">
            <v>2727.2727272727275</v>
          </cell>
          <cell r="CH25">
            <v>1.4249999999999998</v>
          </cell>
        </row>
        <row r="26">
          <cell r="A26" t="str">
            <v>3FD-320</v>
          </cell>
          <cell r="B26"/>
          <cell r="C26">
            <v>3.5219999999999998</v>
          </cell>
          <cell r="D26">
            <v>4.7969999999999997</v>
          </cell>
          <cell r="E26">
            <v>0.16900000000000001</v>
          </cell>
          <cell r="F26">
            <v>1.1919999999999999</v>
          </cell>
          <cell r="G26"/>
          <cell r="H26">
            <v>3.387</v>
          </cell>
          <cell r="I26">
            <v>4.3860000000000001</v>
          </cell>
          <cell r="J26">
            <v>0.17799999999999999</v>
          </cell>
          <cell r="K26">
            <v>1.2989999999999999</v>
          </cell>
          <cell r="L26"/>
          <cell r="M26">
            <v>3.5619999999999998</v>
          </cell>
          <cell r="N26">
            <v>4.5330000000000004</v>
          </cell>
          <cell r="O26">
            <v>0.16600000000000001</v>
          </cell>
          <cell r="P26">
            <v>1.2270000000000001</v>
          </cell>
          <cell r="Q26"/>
          <cell r="R26">
            <v>3.5720000000000001</v>
          </cell>
          <cell r="S26">
            <v>3.956</v>
          </cell>
          <cell r="T26">
            <v>0.17499999999999999</v>
          </cell>
          <cell r="U26">
            <v>1.5740000000000001</v>
          </cell>
          <cell r="V26"/>
          <cell r="W26">
            <v>3.3220000000000001</v>
          </cell>
          <cell r="X26">
            <v>3.4849999999999999</v>
          </cell>
          <cell r="Y26">
            <v>0.17499999999999999</v>
          </cell>
          <cell r="Z26">
            <v>1.2210000000000001</v>
          </cell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 t="str">
            <v>0</v>
          </cell>
          <cell r="BK26">
            <v>0</v>
          </cell>
          <cell r="BL26">
            <v>0</v>
          </cell>
          <cell r="BM26" t="str">
            <v/>
          </cell>
          <cell r="BN26" t="str">
            <v>0</v>
          </cell>
          <cell r="BO26" t="str">
            <v/>
          </cell>
          <cell r="BP26">
            <v>3.4729999999999999</v>
          </cell>
          <cell r="BQ26">
            <v>1.61</v>
          </cell>
          <cell r="BR26">
            <v>-1.8629999999999998</v>
          </cell>
          <cell r="BS26">
            <v>138.20904117477684</v>
          </cell>
          <cell r="BT26">
            <v>298.13664596273293</v>
          </cell>
          <cell r="BU26">
            <v>-159.92760478795608</v>
          </cell>
          <cell r="BV26">
            <v>4.2313999999999998</v>
          </cell>
          <cell r="BW26">
            <v>3.01</v>
          </cell>
          <cell r="BX26">
            <v>-1.2214</v>
          </cell>
          <cell r="BY26">
            <v>113.4376329347261</v>
          </cell>
          <cell r="BZ26">
            <v>159.46843853820599</v>
          </cell>
          <cell r="CA26">
            <v>-46.030805603479891</v>
          </cell>
          <cell r="CB26">
            <v>0.1726</v>
          </cell>
          <cell r="CC26">
            <v>0</v>
          </cell>
          <cell r="CD26">
            <v>-0.1726</v>
          </cell>
          <cell r="CE26">
            <v>2780.9965237543452</v>
          </cell>
          <cell r="CF26" t="str">
            <v>0</v>
          </cell>
          <cell r="CG26">
            <v>2780.9965237543452</v>
          </cell>
          <cell r="CH26">
            <v>1.3026</v>
          </cell>
        </row>
        <row r="27">
          <cell r="A27" t="str">
            <v>3FD-412</v>
          </cell>
          <cell r="B27"/>
          <cell r="C27"/>
          <cell r="D27"/>
          <cell r="E27"/>
          <cell r="F27"/>
          <cell r="G27"/>
          <cell r="H27">
            <v>6.5190000000000001</v>
          </cell>
          <cell r="I27"/>
          <cell r="J27"/>
          <cell r="K27"/>
          <cell r="L27"/>
          <cell r="M27">
            <v>3.4649999999999999</v>
          </cell>
          <cell r="N27"/>
          <cell r="O27"/>
          <cell r="P27"/>
          <cell r="Q27"/>
          <cell r="R27">
            <v>4.4260000000000002</v>
          </cell>
          <cell r="S27">
            <v>4.4219999999999997</v>
          </cell>
          <cell r="T27">
            <v>0.246</v>
          </cell>
          <cell r="U27">
            <v>1.133</v>
          </cell>
          <cell r="V27"/>
          <cell r="W27">
            <v>4.5540000000000003</v>
          </cell>
          <cell r="X27">
            <v>4.6280000000000001</v>
          </cell>
          <cell r="Y27">
            <v>0.183</v>
          </cell>
          <cell r="Z27">
            <v>1.4630000000000001</v>
          </cell>
          <cell r="AA27"/>
          <cell r="AB27"/>
          <cell r="AC27"/>
          <cell r="AD27"/>
          <cell r="AE27">
            <v>1.546</v>
          </cell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 t="str">
            <v>0</v>
          </cell>
          <cell r="BK27">
            <v>0</v>
          </cell>
          <cell r="BL27">
            <v>0</v>
          </cell>
          <cell r="BM27" t="str">
            <v/>
          </cell>
          <cell r="BN27" t="str">
            <v>0</v>
          </cell>
          <cell r="BO27" t="str">
            <v/>
          </cell>
          <cell r="BP27">
            <v>4.7409999999999997</v>
          </cell>
          <cell r="BQ27">
            <v>1.51</v>
          </cell>
          <cell r="BR27">
            <v>-3.2309999999999999</v>
          </cell>
          <cell r="BS27">
            <v>101.24446319341912</v>
          </cell>
          <cell r="BT27">
            <v>317.88079470198676</v>
          </cell>
          <cell r="BU27">
            <v>-216.63633150856765</v>
          </cell>
          <cell r="BV27">
            <v>4.5250000000000004</v>
          </cell>
          <cell r="BW27">
            <v>3.04</v>
          </cell>
          <cell r="BX27">
            <v>-1.4850000000000003</v>
          </cell>
          <cell r="BY27">
            <v>106.07734806629833</v>
          </cell>
          <cell r="BZ27">
            <v>157.89473684210526</v>
          </cell>
          <cell r="CA27">
            <v>-51.817388775806933</v>
          </cell>
          <cell r="CB27">
            <v>0.2145</v>
          </cell>
          <cell r="CC27">
            <v>0</v>
          </cell>
          <cell r="CD27">
            <v>-0.2145</v>
          </cell>
          <cell r="CE27">
            <v>2237.7622377622379</v>
          </cell>
          <cell r="CF27" t="str">
            <v>0</v>
          </cell>
          <cell r="CG27">
            <v>2237.7622377622379</v>
          </cell>
          <cell r="CH27">
            <v>1.3806666666666667</v>
          </cell>
        </row>
        <row r="28">
          <cell r="A28" t="str">
            <v>3FD-416</v>
          </cell>
          <cell r="B28"/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>
            <v>2.258</v>
          </cell>
          <cell r="X28">
            <v>4.7320000000000002</v>
          </cell>
          <cell r="Y28">
            <v>0.152</v>
          </cell>
          <cell r="Z28">
            <v>1.84</v>
          </cell>
          <cell r="AA28"/>
          <cell r="AB28">
            <v>3.99</v>
          </cell>
          <cell r="AC28">
            <v>3.952</v>
          </cell>
          <cell r="AD28">
            <v>0.16800000000000001</v>
          </cell>
          <cell r="AE28">
            <v>2.161</v>
          </cell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 t="str">
            <v>0</v>
          </cell>
          <cell r="BK28">
            <v>0</v>
          </cell>
          <cell r="BL28">
            <v>0</v>
          </cell>
          <cell r="BM28" t="str">
            <v/>
          </cell>
          <cell r="BN28" t="str">
            <v>0</v>
          </cell>
          <cell r="BO28" t="str">
            <v/>
          </cell>
          <cell r="BP28">
            <v>3.1240000000000001</v>
          </cell>
          <cell r="BQ28">
            <v>1.54</v>
          </cell>
          <cell r="BR28">
            <v>-1.5840000000000001</v>
          </cell>
          <cell r="BS28">
            <v>153.64916773367477</v>
          </cell>
          <cell r="BT28">
            <v>311.68831168831167</v>
          </cell>
          <cell r="BU28">
            <v>-158.0391439546369</v>
          </cell>
          <cell r="BV28">
            <v>4.3420000000000005</v>
          </cell>
          <cell r="BW28">
            <v>3.04</v>
          </cell>
          <cell r="BX28">
            <v>-1.3020000000000005</v>
          </cell>
          <cell r="BY28">
            <v>110.54813450023029</v>
          </cell>
          <cell r="BZ28">
            <v>157.89473684210526</v>
          </cell>
          <cell r="CA28">
            <v>-47.34660234187497</v>
          </cell>
          <cell r="CB28">
            <v>0.16</v>
          </cell>
          <cell r="CC28">
            <v>0</v>
          </cell>
          <cell r="CD28">
            <v>-0.16</v>
          </cell>
          <cell r="CE28">
            <v>3000</v>
          </cell>
          <cell r="CF28" t="str">
            <v>0</v>
          </cell>
          <cell r="CG28">
            <v>3000</v>
          </cell>
          <cell r="CH28">
            <v>2.0005000000000002</v>
          </cell>
        </row>
        <row r="29">
          <cell r="A29" t="str">
            <v>3FD-420</v>
          </cell>
          <cell r="B29"/>
          <cell r="C29">
            <v>2.6349999999999998</v>
          </cell>
          <cell r="D29">
            <v>5.923</v>
          </cell>
          <cell r="E29">
            <v>0.16400000000000001</v>
          </cell>
          <cell r="F29">
            <v>2.2909999999999999</v>
          </cell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>
            <v>5.14</v>
          </cell>
          <cell r="AC29">
            <v>4.1840000000000002</v>
          </cell>
          <cell r="AD29">
            <v>0.18</v>
          </cell>
          <cell r="AE29">
            <v>1.1950000000000001</v>
          </cell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 t="str">
            <v>0</v>
          </cell>
          <cell r="BK29">
            <v>0</v>
          </cell>
          <cell r="BL29">
            <v>0</v>
          </cell>
          <cell r="BM29" t="str">
            <v/>
          </cell>
          <cell r="BN29" t="str">
            <v>0</v>
          </cell>
          <cell r="BO29" t="str">
            <v/>
          </cell>
          <cell r="BP29">
            <v>3.8874999999999997</v>
          </cell>
          <cell r="BQ29">
            <v>1.56</v>
          </cell>
          <cell r="BR29">
            <v>-2.3274999999999997</v>
          </cell>
          <cell r="BS29">
            <v>123.47266881028939</v>
          </cell>
          <cell r="BT29">
            <v>307.69230769230768</v>
          </cell>
          <cell r="BU29">
            <v>-184.21963888201827</v>
          </cell>
          <cell r="BV29">
            <v>5.0534999999999997</v>
          </cell>
          <cell r="BW29">
            <v>3.04</v>
          </cell>
          <cell r="BX29">
            <v>-2.0134999999999996</v>
          </cell>
          <cell r="BY29">
            <v>94.98367468091422</v>
          </cell>
          <cell r="BZ29">
            <v>157.89473684210526</v>
          </cell>
          <cell r="CA29">
            <v>-62.91106216119104</v>
          </cell>
          <cell r="CB29">
            <v>0.17199999999999999</v>
          </cell>
          <cell r="CC29">
            <v>0</v>
          </cell>
          <cell r="CD29">
            <v>-0.17199999999999999</v>
          </cell>
          <cell r="CE29">
            <v>2790.6976744186049</v>
          </cell>
          <cell r="CF29" t="str">
            <v>0</v>
          </cell>
          <cell r="CG29">
            <v>2790.6976744186049</v>
          </cell>
          <cell r="CH29">
            <v>1.7429999999999999</v>
          </cell>
        </row>
        <row r="30">
          <cell r="A30" t="str">
            <v>3FD-424</v>
          </cell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>
            <v>4.7850000000000001</v>
          </cell>
          <cell r="AC30">
            <v>3.94</v>
          </cell>
          <cell r="AD30">
            <v>0.17499999999999999</v>
          </cell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  <cell r="CE30"/>
          <cell r="CF30"/>
          <cell r="CG30"/>
          <cell r="CH30"/>
        </row>
        <row r="31">
          <cell r="A31" t="str">
            <v>3FD-428</v>
          </cell>
          <cell r="B31"/>
          <cell r="C31"/>
          <cell r="D31">
            <v>10.331</v>
          </cell>
          <cell r="E31">
            <v>0.159</v>
          </cell>
          <cell r="F31">
            <v>1.2</v>
          </cell>
          <cell r="G31"/>
          <cell r="H31">
            <v>4.9009999999999998</v>
          </cell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>
            <v>3.8029999999999999</v>
          </cell>
          <cell r="T31">
            <v>0.16500000000000001</v>
          </cell>
          <cell r="U31"/>
          <cell r="V31"/>
          <cell r="W31"/>
          <cell r="X31"/>
          <cell r="Y31"/>
          <cell r="Z31">
            <v>2.411</v>
          </cell>
          <cell r="AA31"/>
          <cell r="AB31"/>
          <cell r="AC31">
            <v>5.5</v>
          </cell>
          <cell r="AD31">
            <v>0.25</v>
          </cell>
          <cell r="AE31">
            <v>2.5</v>
          </cell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 t="str">
            <v>0</v>
          </cell>
          <cell r="BK31">
            <v>0</v>
          </cell>
          <cell r="BL31">
            <v>0</v>
          </cell>
          <cell r="BM31" t="str">
            <v/>
          </cell>
          <cell r="BN31" t="str">
            <v>0</v>
          </cell>
          <cell r="BO31" t="str">
            <v/>
          </cell>
          <cell r="BP31">
            <v>4.9009999999999998</v>
          </cell>
          <cell r="BQ31">
            <v>0</v>
          </cell>
          <cell r="BR31">
            <v>-4.9009999999999998</v>
          </cell>
          <cell r="BS31">
            <v>97.939196082432161</v>
          </cell>
          <cell r="BT31" t="str">
            <v>0</v>
          </cell>
          <cell r="BU31">
            <v>97.939196082432161</v>
          </cell>
          <cell r="BV31">
            <v>6.5446666666666671</v>
          </cell>
          <cell r="BW31">
            <v>0</v>
          </cell>
          <cell r="BX31">
            <v>-6.5446666666666671</v>
          </cell>
          <cell r="BY31">
            <v>73.342161556483646</v>
          </cell>
          <cell r="BZ31" t="str">
            <v>0</v>
          </cell>
          <cell r="CA31">
            <v>73.342161556483646</v>
          </cell>
          <cell r="CB31">
            <v>0.19133333333333336</v>
          </cell>
          <cell r="CC31">
            <v>0</v>
          </cell>
          <cell r="CD31">
            <v>-0.19133333333333336</v>
          </cell>
          <cell r="CE31">
            <v>2508.7108013937282</v>
          </cell>
          <cell r="CF31" t="str">
            <v>0</v>
          </cell>
          <cell r="CG31">
            <v>2508.7108013937282</v>
          </cell>
          <cell r="CH31">
            <v>2.0369999999999999</v>
          </cell>
        </row>
        <row r="32">
          <cell r="A32" t="str">
            <v>3FD-510</v>
          </cell>
          <cell r="B32"/>
          <cell r="C32">
            <v>5.0999999999999996</v>
          </cell>
          <cell r="D32">
            <v>4.0540000000000003</v>
          </cell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>
            <v>2.4550000000000001</v>
          </cell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 t="str">
            <v>0</v>
          </cell>
          <cell r="BK32">
            <v>0</v>
          </cell>
          <cell r="BL32">
            <v>0</v>
          </cell>
          <cell r="BM32" t="str">
            <v/>
          </cell>
          <cell r="BN32" t="str">
            <v>0</v>
          </cell>
          <cell r="BO32" t="str">
            <v/>
          </cell>
          <cell r="BP32">
            <v>3.7774999999999999</v>
          </cell>
          <cell r="BQ32">
            <v>0</v>
          </cell>
          <cell r="BR32">
            <v>-3.7774999999999999</v>
          </cell>
          <cell r="BS32">
            <v>127.06816677696889</v>
          </cell>
          <cell r="BT32" t="str">
            <v>0</v>
          </cell>
          <cell r="BU32">
            <v>127.06816677696889</v>
          </cell>
          <cell r="BV32">
            <v>4.0540000000000003</v>
          </cell>
          <cell r="BW32">
            <v>0</v>
          </cell>
          <cell r="BX32">
            <v>-4.0540000000000003</v>
          </cell>
          <cell r="BY32">
            <v>118.40157868771583</v>
          </cell>
          <cell r="BZ32" t="str">
            <v>0</v>
          </cell>
          <cell r="CA32">
            <v>118.40157868771583</v>
          </cell>
          <cell r="CB32" t="str">
            <v>0</v>
          </cell>
          <cell r="CC32">
            <v>0</v>
          </cell>
          <cell r="CD32">
            <v>0</v>
          </cell>
          <cell r="CE32" t="str">
            <v/>
          </cell>
          <cell r="CF32" t="str">
            <v>0</v>
          </cell>
          <cell r="CG32" t="str">
            <v/>
          </cell>
          <cell r="CH32" t="str">
            <v>0</v>
          </cell>
        </row>
        <row r="33">
          <cell r="A33" t="str">
            <v>3FD-520</v>
          </cell>
          <cell r="B33"/>
          <cell r="C33">
            <v>2.52</v>
          </cell>
          <cell r="D33">
            <v>7.0359999999999996</v>
          </cell>
          <cell r="E33">
            <v>0.17299999999999999</v>
          </cell>
          <cell r="F33">
            <v>2.3290000000000002</v>
          </cell>
          <cell r="G33"/>
          <cell r="H33">
            <v>5</v>
          </cell>
          <cell r="I33"/>
          <cell r="J33"/>
          <cell r="K33"/>
          <cell r="L33"/>
          <cell r="M33">
            <v>3.9510000000000001</v>
          </cell>
          <cell r="N33">
            <v>5.96</v>
          </cell>
          <cell r="O33">
            <v>0.123</v>
          </cell>
          <cell r="P33">
            <v>3.3</v>
          </cell>
          <cell r="Q33"/>
          <cell r="R33">
            <v>3.1680000000000001</v>
          </cell>
          <cell r="S33">
            <v>3.8119999999999998</v>
          </cell>
          <cell r="T33">
            <v>0.23799999999999999</v>
          </cell>
          <cell r="U33"/>
          <cell r="V33"/>
          <cell r="W33">
            <v>2.2799999999999998</v>
          </cell>
          <cell r="X33">
            <v>3.5329999999999999</v>
          </cell>
          <cell r="Y33">
            <v>0.17899999999999999</v>
          </cell>
          <cell r="Z33">
            <v>2.782</v>
          </cell>
          <cell r="AA33"/>
          <cell r="AB33">
            <v>7.97</v>
          </cell>
          <cell r="AC33">
            <v>2.375</v>
          </cell>
          <cell r="AD33">
            <v>0.19500000000000001</v>
          </cell>
          <cell r="AE33">
            <v>1.4430000000000001</v>
          </cell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 t="str">
            <v>0</v>
          </cell>
          <cell r="BK33">
            <v>0</v>
          </cell>
          <cell r="BL33">
            <v>0</v>
          </cell>
          <cell r="BM33" t="str">
            <v/>
          </cell>
          <cell r="BN33" t="str">
            <v>0</v>
          </cell>
          <cell r="BO33" t="str">
            <v/>
          </cell>
          <cell r="BP33">
            <v>4.1481666666666666</v>
          </cell>
          <cell r="BQ33">
            <v>1.25</v>
          </cell>
          <cell r="BR33">
            <v>-2.8981666666666666</v>
          </cell>
          <cell r="BS33">
            <v>115.71376913495922</v>
          </cell>
          <cell r="BT33">
            <v>384</v>
          </cell>
          <cell r="BU33">
            <v>-268.28623086504081</v>
          </cell>
          <cell r="BV33">
            <v>4.5432000000000006</v>
          </cell>
          <cell r="BW33">
            <v>3.24</v>
          </cell>
          <cell r="BX33">
            <v>-1.3032000000000004</v>
          </cell>
          <cell r="BY33">
            <v>105.65240359218171</v>
          </cell>
          <cell r="BZ33">
            <v>148.14814814814815</v>
          </cell>
          <cell r="CA33">
            <v>-42.495744555966439</v>
          </cell>
          <cell r="CB33">
            <v>0.18160000000000004</v>
          </cell>
          <cell r="CC33">
            <v>0</v>
          </cell>
          <cell r="CD33">
            <v>-0.18160000000000004</v>
          </cell>
          <cell r="CE33">
            <v>2643.1718061674005</v>
          </cell>
          <cell r="CF33" t="str">
            <v>0</v>
          </cell>
          <cell r="CG33">
            <v>2643.1718061674005</v>
          </cell>
          <cell r="CH33">
            <v>2.4634999999999998</v>
          </cell>
        </row>
        <row r="34">
          <cell r="A34" t="str">
            <v>3FD-524</v>
          </cell>
          <cell r="B34"/>
          <cell r="C34">
            <v>2.3079999999999998</v>
          </cell>
          <cell r="D34">
            <v>6.4379999999999997</v>
          </cell>
          <cell r="E34">
            <v>0.16400000000000001</v>
          </cell>
          <cell r="F34">
            <v>2.2999999999999998</v>
          </cell>
          <cell r="G34"/>
          <cell r="H34"/>
          <cell r="I34"/>
          <cell r="J34"/>
          <cell r="K34"/>
          <cell r="L34"/>
          <cell r="M34">
            <v>3.8740000000000001</v>
          </cell>
          <cell r="N34"/>
          <cell r="O34"/>
          <cell r="P34"/>
          <cell r="Q34"/>
          <cell r="R34"/>
          <cell r="S34">
            <v>17</v>
          </cell>
          <cell r="T34">
            <v>0.159</v>
          </cell>
          <cell r="U34">
            <v>6</v>
          </cell>
          <cell r="V34"/>
          <cell r="W34"/>
          <cell r="X34"/>
          <cell r="Y34"/>
          <cell r="Z34"/>
          <cell r="AA34"/>
          <cell r="AB34">
            <v>4.1550000000000002</v>
          </cell>
          <cell r="AC34">
            <v>4.0789999999999997</v>
          </cell>
          <cell r="AD34">
            <v>0.221</v>
          </cell>
          <cell r="AE34">
            <v>2.4140000000000001</v>
          </cell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 t="str">
            <v>0</v>
          </cell>
          <cell r="BK34">
            <v>0</v>
          </cell>
          <cell r="BL34">
            <v>0</v>
          </cell>
          <cell r="BM34" t="str">
            <v/>
          </cell>
          <cell r="BN34" t="str">
            <v>0</v>
          </cell>
          <cell r="BO34" t="str">
            <v/>
          </cell>
          <cell r="BP34">
            <v>3.4456666666666664</v>
          </cell>
          <cell r="BQ34">
            <v>1.27</v>
          </cell>
          <cell r="BR34">
            <v>-2.1756666666666664</v>
          </cell>
          <cell r="BS34">
            <v>139.30540775853731</v>
          </cell>
          <cell r="BT34">
            <v>377.95275590551182</v>
          </cell>
          <cell r="BU34">
            <v>-238.64734814697451</v>
          </cell>
          <cell r="BV34">
            <v>9.1723333333333326</v>
          </cell>
          <cell r="BW34">
            <v>3.24</v>
          </cell>
          <cell r="BX34">
            <v>-5.9323333333333323</v>
          </cell>
          <cell r="BY34">
            <v>52.331286114038598</v>
          </cell>
          <cell r="BZ34">
            <v>148.14814814814815</v>
          </cell>
          <cell r="CA34">
            <v>-95.816862034109562</v>
          </cell>
          <cell r="CB34">
            <v>0.18133333333333335</v>
          </cell>
          <cell r="CC34">
            <v>0</v>
          </cell>
          <cell r="CD34">
            <v>-0.18133333333333335</v>
          </cell>
          <cell r="CE34">
            <v>2647.0588235294117</v>
          </cell>
          <cell r="CF34" t="str">
            <v>0</v>
          </cell>
          <cell r="CG34">
            <v>2647.0588235294117</v>
          </cell>
          <cell r="CH34">
            <v>3.5713333333333335</v>
          </cell>
        </row>
        <row r="35">
          <cell r="A35" t="str">
            <v>3FD-528</v>
          </cell>
          <cell r="B35"/>
          <cell r="C35">
            <v>2.3460000000000001</v>
          </cell>
          <cell r="D35">
            <v>7.202</v>
          </cell>
          <cell r="E35">
            <v>0.17699999999999999</v>
          </cell>
          <cell r="F35">
            <v>3.06</v>
          </cell>
          <cell r="G35"/>
          <cell r="H35"/>
          <cell r="I35">
            <v>5.7560000000000002</v>
          </cell>
          <cell r="J35">
            <v>0.155</v>
          </cell>
          <cell r="K35">
            <v>1.6</v>
          </cell>
          <cell r="L35"/>
          <cell r="M35"/>
          <cell r="N35"/>
          <cell r="O35"/>
          <cell r="P35"/>
          <cell r="Q35"/>
          <cell r="R35">
            <v>3.7090000000000001</v>
          </cell>
          <cell r="S35"/>
          <cell r="T35"/>
          <cell r="U35"/>
          <cell r="V35"/>
          <cell r="W35">
            <v>4.4189999999999996</v>
          </cell>
          <cell r="X35">
            <v>4.9580000000000002</v>
          </cell>
          <cell r="Y35">
            <v>0.18099999999999999</v>
          </cell>
          <cell r="Z35">
            <v>2.5419999999999998</v>
          </cell>
          <cell r="AA35"/>
          <cell r="AB35">
            <v>3.4329999999999998</v>
          </cell>
          <cell r="AC35">
            <v>1.641</v>
          </cell>
          <cell r="AD35">
            <v>0.22800000000000001</v>
          </cell>
          <cell r="AE35">
            <v>2.59</v>
          </cell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 t="str">
            <v>0</v>
          </cell>
          <cell r="BK35">
            <v>0</v>
          </cell>
          <cell r="BL35">
            <v>0</v>
          </cell>
          <cell r="BM35" t="str">
            <v/>
          </cell>
          <cell r="BN35" t="str">
            <v>0</v>
          </cell>
          <cell r="BO35" t="str">
            <v/>
          </cell>
          <cell r="BP35">
            <v>3.47675</v>
          </cell>
          <cell r="BQ35">
            <v>1.28</v>
          </cell>
          <cell r="BR35">
            <v>-2.1967499999999998</v>
          </cell>
          <cell r="BS35">
            <v>138.05996979938161</v>
          </cell>
          <cell r="BT35">
            <v>375</v>
          </cell>
          <cell r="BU35">
            <v>-236.94003020061839</v>
          </cell>
          <cell r="BV35">
            <v>4.8892500000000005</v>
          </cell>
          <cell r="BW35">
            <v>3.24</v>
          </cell>
          <cell r="BX35">
            <v>-1.6492500000000003</v>
          </cell>
          <cell r="BY35">
            <v>98.174566651326884</v>
          </cell>
          <cell r="BZ35">
            <v>148.14814814814815</v>
          </cell>
          <cell r="CA35">
            <v>-49.973581496821268</v>
          </cell>
          <cell r="CB35">
            <v>0.18524999999999997</v>
          </cell>
          <cell r="CC35">
            <v>0</v>
          </cell>
          <cell r="CD35">
            <v>-0.18524999999999997</v>
          </cell>
          <cell r="CE35">
            <v>2591.0931174089073</v>
          </cell>
          <cell r="CF35" t="str">
            <v>0</v>
          </cell>
          <cell r="CG35">
            <v>2591.0931174089073</v>
          </cell>
          <cell r="CH35">
            <v>2.448</v>
          </cell>
        </row>
        <row r="36">
          <cell r="A36" t="str">
            <v>3FD-548</v>
          </cell>
          <cell r="B36"/>
          <cell r="C36"/>
          <cell r="D36"/>
          <cell r="E36"/>
          <cell r="F36"/>
          <cell r="G36"/>
          <cell r="H36">
            <v>5.9409999999999998</v>
          </cell>
          <cell r="I36">
            <v>2.88</v>
          </cell>
          <cell r="J36"/>
          <cell r="K36"/>
          <cell r="L36"/>
          <cell r="M36"/>
          <cell r="N36">
            <v>1.304</v>
          </cell>
          <cell r="O36">
            <v>0.19600000000000001</v>
          </cell>
          <cell r="P36"/>
          <cell r="Q36"/>
          <cell r="R36"/>
          <cell r="S36"/>
          <cell r="T36"/>
          <cell r="U36">
            <v>2</v>
          </cell>
          <cell r="V36"/>
          <cell r="W36">
            <v>5.4589999999999996</v>
          </cell>
          <cell r="X36">
            <v>5.7720000000000002</v>
          </cell>
          <cell r="Y36">
            <v>0.17899999999999999</v>
          </cell>
          <cell r="Z36">
            <v>1.768</v>
          </cell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 t="str">
            <v>0</v>
          </cell>
          <cell r="BK36">
            <v>0</v>
          </cell>
          <cell r="BL36">
            <v>0</v>
          </cell>
          <cell r="BM36" t="str">
            <v/>
          </cell>
          <cell r="BN36" t="str">
            <v>0</v>
          </cell>
          <cell r="BO36" t="str">
            <v/>
          </cell>
          <cell r="BP36">
            <v>5.6999999999999993</v>
          </cell>
          <cell r="BQ36">
            <v>1.36</v>
          </cell>
          <cell r="BR36">
            <v>-4.339999999999999</v>
          </cell>
          <cell r="BS36">
            <v>84.21052631578948</v>
          </cell>
          <cell r="BT36">
            <v>352.94117647058823</v>
          </cell>
          <cell r="BU36">
            <v>-268.73065015479875</v>
          </cell>
          <cell r="BV36">
            <v>3.3186666666666667</v>
          </cell>
          <cell r="BW36">
            <v>3.24</v>
          </cell>
          <cell r="BX36">
            <v>-7.866666666666644E-2</v>
          </cell>
          <cell r="BY36">
            <v>144.63640016070713</v>
          </cell>
          <cell r="BZ36">
            <v>148.14814814814815</v>
          </cell>
          <cell r="CA36">
            <v>-3.5117479874410265</v>
          </cell>
          <cell r="CB36">
            <v>0.1875</v>
          </cell>
          <cell r="CC36">
            <v>0</v>
          </cell>
          <cell r="CD36">
            <v>-0.1875</v>
          </cell>
          <cell r="CE36">
            <v>2560</v>
          </cell>
          <cell r="CF36" t="str">
            <v>0</v>
          </cell>
          <cell r="CG36">
            <v>2560</v>
          </cell>
          <cell r="CH36">
            <v>1.8839999999999999</v>
          </cell>
        </row>
        <row r="37">
          <cell r="A37" t="str">
            <v>3FL10-250</v>
          </cell>
          <cell r="B37"/>
          <cell r="C37"/>
          <cell r="D37"/>
          <cell r="E37"/>
          <cell r="F37"/>
          <cell r="G37"/>
          <cell r="H37">
            <v>3.1190000000000002</v>
          </cell>
          <cell r="I37"/>
          <cell r="J37"/>
          <cell r="K37"/>
          <cell r="L37"/>
          <cell r="M37"/>
          <cell r="N37">
            <v>7.4249999999999998</v>
          </cell>
          <cell r="O37">
            <v>0.105</v>
          </cell>
          <cell r="P37">
            <v>4.05</v>
          </cell>
          <cell r="Q37"/>
          <cell r="R37">
            <v>1.8</v>
          </cell>
          <cell r="S37">
            <v>6.4290000000000003</v>
          </cell>
          <cell r="T37">
            <v>0.16300000000000001</v>
          </cell>
          <cell r="U37">
            <v>2.5489999999999999</v>
          </cell>
          <cell r="V37"/>
          <cell r="W37"/>
          <cell r="X37"/>
          <cell r="Y37"/>
          <cell r="Z37">
            <v>3.472</v>
          </cell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 t="str">
            <v>0</v>
          </cell>
          <cell r="BK37">
            <v>0</v>
          </cell>
          <cell r="BL37">
            <v>0</v>
          </cell>
          <cell r="BM37" t="str">
            <v/>
          </cell>
          <cell r="BN37" t="str">
            <v>0</v>
          </cell>
          <cell r="BO37" t="str">
            <v/>
          </cell>
          <cell r="BP37">
            <v>2.4595000000000002</v>
          </cell>
          <cell r="BQ37">
            <v>3.96</v>
          </cell>
          <cell r="BR37">
            <v>1.5004999999999997</v>
          </cell>
          <cell r="BS37">
            <v>195.16161821508436</v>
          </cell>
          <cell r="BT37">
            <v>121.21212121212122</v>
          </cell>
          <cell r="BU37">
            <v>73.949497002963142</v>
          </cell>
          <cell r="BV37">
            <v>6.9269999999999996</v>
          </cell>
          <cell r="BW37">
            <v>4.6400000000000006</v>
          </cell>
          <cell r="BX37">
            <v>-2.286999999999999</v>
          </cell>
          <cell r="BY37">
            <v>69.2940666955392</v>
          </cell>
          <cell r="BZ37">
            <v>103.44827586206895</v>
          </cell>
          <cell r="CA37">
            <v>-34.154209166529753</v>
          </cell>
          <cell r="CB37">
            <v>0.13400000000000001</v>
          </cell>
          <cell r="CC37">
            <v>0.1</v>
          </cell>
          <cell r="CD37">
            <v>-3.4000000000000002E-2</v>
          </cell>
          <cell r="CE37">
            <v>3582.0895522388059</v>
          </cell>
          <cell r="CF37">
            <v>4800</v>
          </cell>
          <cell r="CG37">
            <v>-1217.9104477611941</v>
          </cell>
          <cell r="CH37">
            <v>3.3569999999999998</v>
          </cell>
        </row>
        <row r="38">
          <cell r="A38" t="str">
            <v>3FL10-600</v>
          </cell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>
            <v>4.29</v>
          </cell>
          <cell r="X38">
            <v>5.7030000000000003</v>
          </cell>
          <cell r="Y38">
            <v>0.17699999999999999</v>
          </cell>
          <cell r="Z38">
            <v>3.2730000000000001</v>
          </cell>
          <cell r="AA38"/>
          <cell r="AB38">
            <v>2.78</v>
          </cell>
          <cell r="AC38">
            <v>9.7059999999999995</v>
          </cell>
          <cell r="AD38">
            <v>0.23</v>
          </cell>
          <cell r="AE38">
            <v>3.4039999999999999</v>
          </cell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 t="str">
            <v>0</v>
          </cell>
          <cell r="BK38">
            <v>0</v>
          </cell>
          <cell r="BL38">
            <v>0</v>
          </cell>
          <cell r="BM38" t="str">
            <v/>
          </cell>
          <cell r="BN38" t="str">
            <v>0</v>
          </cell>
          <cell r="BO38" t="str">
            <v/>
          </cell>
          <cell r="BP38">
            <v>3.5350000000000001</v>
          </cell>
          <cell r="BQ38">
            <v>4.5</v>
          </cell>
          <cell r="BR38">
            <v>0.96499999999999986</v>
          </cell>
          <cell r="BS38">
            <v>135.78500707213578</v>
          </cell>
          <cell r="BT38">
            <v>106.66666666666667</v>
          </cell>
          <cell r="BU38">
            <v>29.118340405469112</v>
          </cell>
          <cell r="BV38">
            <v>7.7044999999999995</v>
          </cell>
          <cell r="BW38">
            <v>5.6999999999999993</v>
          </cell>
          <cell r="BX38">
            <v>-2.0045000000000002</v>
          </cell>
          <cell r="BY38">
            <v>62.301252514764101</v>
          </cell>
          <cell r="BZ38">
            <v>84.21052631578948</v>
          </cell>
          <cell r="CA38">
            <v>-21.909273801025378</v>
          </cell>
          <cell r="CB38">
            <v>0.20350000000000001</v>
          </cell>
          <cell r="CC38">
            <v>0.1</v>
          </cell>
          <cell r="CD38">
            <v>-0.10350000000000001</v>
          </cell>
          <cell r="CE38">
            <v>2358.7223587223584</v>
          </cell>
          <cell r="CF38">
            <v>4800</v>
          </cell>
          <cell r="CG38">
            <v>-2441.2776412776416</v>
          </cell>
          <cell r="CH38">
            <v>3.3384999999999998</v>
          </cell>
        </row>
        <row r="39">
          <cell r="A39" t="str">
            <v>3FL12-200</v>
          </cell>
          <cell r="B39"/>
          <cell r="C39"/>
          <cell r="D39"/>
          <cell r="E39"/>
          <cell r="F39">
            <v>3.3260000000000001</v>
          </cell>
          <cell r="G39"/>
          <cell r="H39">
            <v>2.6579999999999999</v>
          </cell>
          <cell r="I39">
            <v>3.5059999999999998</v>
          </cell>
          <cell r="J39"/>
          <cell r="K39"/>
          <cell r="L39"/>
          <cell r="M39"/>
          <cell r="N39">
            <v>8.9139999999999997</v>
          </cell>
          <cell r="O39">
            <v>0.18</v>
          </cell>
          <cell r="P39">
            <v>2.5</v>
          </cell>
          <cell r="Q39"/>
          <cell r="R39"/>
          <cell r="S39"/>
          <cell r="T39"/>
          <cell r="U39">
            <v>2.1880000000000002</v>
          </cell>
          <cell r="V39"/>
          <cell r="W39"/>
          <cell r="X39"/>
          <cell r="Y39"/>
          <cell r="Z39"/>
          <cell r="AA39"/>
          <cell r="AB39">
            <v>3.4329999999999998</v>
          </cell>
          <cell r="AC39">
            <v>7.0880000000000001</v>
          </cell>
          <cell r="AD39">
            <v>9.8000000000000004E-2</v>
          </cell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 t="str">
            <v>0</v>
          </cell>
          <cell r="BK39">
            <v>0</v>
          </cell>
          <cell r="BL39">
            <v>0</v>
          </cell>
          <cell r="BM39" t="str">
            <v/>
          </cell>
          <cell r="BN39" t="str">
            <v>0</v>
          </cell>
          <cell r="BO39" t="str">
            <v/>
          </cell>
          <cell r="BP39">
            <v>3.0454999999999997</v>
          </cell>
          <cell r="BQ39">
            <v>3.96</v>
          </cell>
          <cell r="BR39">
            <v>0.91450000000000031</v>
          </cell>
          <cell r="BS39">
            <v>157.60958791659829</v>
          </cell>
          <cell r="BT39">
            <v>121.21212121212122</v>
          </cell>
          <cell r="BU39">
            <v>36.397466704477068</v>
          </cell>
          <cell r="BV39">
            <v>6.5026666666666664</v>
          </cell>
          <cell r="BW39">
            <v>4.6400000000000006</v>
          </cell>
          <cell r="BX39">
            <v>-1.8626666666666658</v>
          </cell>
          <cell r="BY39">
            <v>73.815870412138608</v>
          </cell>
          <cell r="BZ39">
            <v>103.44827586206895</v>
          </cell>
          <cell r="CA39">
            <v>-29.632405449930346</v>
          </cell>
          <cell r="CB39">
            <v>0.13900000000000001</v>
          </cell>
          <cell r="CC39">
            <v>0.1</v>
          </cell>
          <cell r="CD39">
            <v>-3.9000000000000007E-2</v>
          </cell>
          <cell r="CE39">
            <v>3453.2374100719421</v>
          </cell>
          <cell r="CF39">
            <v>4800</v>
          </cell>
          <cell r="CG39">
            <v>-1346.7625899280579</v>
          </cell>
          <cell r="CH39">
            <v>2.6713333333333336</v>
          </cell>
        </row>
        <row r="40">
          <cell r="A40" t="str">
            <v>3FL12-475</v>
          </cell>
          <cell r="B40"/>
          <cell r="C40"/>
          <cell r="D40"/>
          <cell r="E40"/>
          <cell r="F40"/>
          <cell r="G40"/>
          <cell r="H40">
            <v>2.0880000000000001</v>
          </cell>
          <cell r="I40">
            <v>4.1040000000000001</v>
          </cell>
          <cell r="J40">
            <v>0.19600000000000001</v>
          </cell>
          <cell r="K40">
            <v>3.8250000000000002</v>
          </cell>
          <cell r="L40"/>
          <cell r="M40">
            <v>2</v>
          </cell>
          <cell r="N40">
            <v>7.7519999999999998</v>
          </cell>
          <cell r="O40">
            <v>0.16800000000000001</v>
          </cell>
          <cell r="P40">
            <v>3.375</v>
          </cell>
          <cell r="Q40"/>
          <cell r="R40">
            <v>3.24</v>
          </cell>
          <cell r="S40">
            <v>11.201000000000001</v>
          </cell>
          <cell r="T40">
            <v>0.161</v>
          </cell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 t="str">
            <v>0</v>
          </cell>
          <cell r="BK40">
            <v>0</v>
          </cell>
          <cell r="BL40">
            <v>0</v>
          </cell>
          <cell r="BM40" t="str">
            <v/>
          </cell>
          <cell r="BN40" t="str">
            <v>0</v>
          </cell>
          <cell r="BO40" t="str">
            <v/>
          </cell>
          <cell r="BP40">
            <v>2.4426666666666668</v>
          </cell>
          <cell r="BQ40">
            <v>6.5579999999999998</v>
          </cell>
          <cell r="BR40">
            <v>4.1153333333333331</v>
          </cell>
          <cell r="BS40">
            <v>196.50655021834061</v>
          </cell>
          <cell r="BT40">
            <v>73.193046660567248</v>
          </cell>
          <cell r="BU40">
            <v>123.31350355777336</v>
          </cell>
          <cell r="BV40">
            <v>7.6856666666666671</v>
          </cell>
          <cell r="BW40">
            <v>7.6839999999999993</v>
          </cell>
          <cell r="BX40">
            <v>-1.6666666666678154E-3</v>
          </cell>
          <cell r="BY40">
            <v>62.453918549681219</v>
          </cell>
          <cell r="BZ40">
            <v>62.467464862051024</v>
          </cell>
          <cell r="CA40">
            <v>-1.3546312369804525E-2</v>
          </cell>
          <cell r="CB40">
            <v>0.17500000000000002</v>
          </cell>
          <cell r="CC40">
            <v>0.16600000000000001</v>
          </cell>
          <cell r="CD40">
            <v>-9.000000000000008E-3</v>
          </cell>
          <cell r="CE40">
            <v>2742.8571428571427</v>
          </cell>
          <cell r="CF40">
            <v>2891.5662650602408</v>
          </cell>
          <cell r="CG40">
            <v>-148.7091222030981</v>
          </cell>
          <cell r="CH40">
            <v>3.6</v>
          </cell>
        </row>
        <row r="41">
          <cell r="A41" t="str">
            <v>3FL24-250</v>
          </cell>
          <cell r="B41"/>
          <cell r="C41"/>
          <cell r="D41"/>
          <cell r="E41"/>
          <cell r="F41"/>
          <cell r="G41"/>
          <cell r="H41">
            <v>2.214</v>
          </cell>
          <cell r="I41">
            <v>6.2380000000000004</v>
          </cell>
          <cell r="J41">
            <v>0.22</v>
          </cell>
          <cell r="K41">
            <v>2.5</v>
          </cell>
          <cell r="L41"/>
          <cell r="M41">
            <v>2</v>
          </cell>
          <cell r="N41">
            <v>2.9580000000000002</v>
          </cell>
          <cell r="O41">
            <v>0.16900000000000001</v>
          </cell>
          <cell r="P41">
            <v>4.5</v>
          </cell>
          <cell r="Q41"/>
          <cell r="R41">
            <v>2.3940000000000001</v>
          </cell>
          <cell r="S41">
            <v>9.468</v>
          </cell>
          <cell r="T41">
            <v>0.156</v>
          </cell>
          <cell r="U41">
            <v>2.7120000000000002</v>
          </cell>
          <cell r="V41"/>
          <cell r="W41"/>
          <cell r="X41"/>
          <cell r="Y41"/>
          <cell r="Z41"/>
          <cell r="AA41"/>
          <cell r="AB41"/>
          <cell r="AC41"/>
          <cell r="AD41"/>
          <cell r="AE41">
            <v>0.55600000000000005</v>
          </cell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 t="str">
            <v>0</v>
          </cell>
          <cell r="BK41">
            <v>0</v>
          </cell>
          <cell r="BL41">
            <v>0</v>
          </cell>
          <cell r="BM41" t="str">
            <v/>
          </cell>
          <cell r="BN41" t="str">
            <v>0</v>
          </cell>
          <cell r="BO41" t="str">
            <v/>
          </cell>
          <cell r="BP41">
            <v>2.202666666666667</v>
          </cell>
          <cell r="BQ41">
            <v>6.4749999999999996</v>
          </cell>
          <cell r="BR41">
            <v>4.2723333333333322</v>
          </cell>
          <cell r="BS41">
            <v>217.91767554479415</v>
          </cell>
          <cell r="BT41">
            <v>74.131274131274139</v>
          </cell>
          <cell r="BU41">
            <v>143.78640141352003</v>
          </cell>
          <cell r="BV41">
            <v>6.2213333333333338</v>
          </cell>
          <cell r="BW41">
            <v>7.5860000000000003</v>
          </cell>
          <cell r="BX41">
            <v>1.3646666666666665</v>
          </cell>
          <cell r="BY41">
            <v>77.15387912558937</v>
          </cell>
          <cell r="BZ41">
            <v>63.274452939625625</v>
          </cell>
          <cell r="CA41">
            <v>13.879426185963744</v>
          </cell>
          <cell r="CB41">
            <v>0.18166666666666667</v>
          </cell>
          <cell r="CC41">
            <v>0.16400000000000001</v>
          </cell>
          <cell r="CD41">
            <v>-1.7666666666666664E-2</v>
          </cell>
          <cell r="CE41">
            <v>2642.2018348623851</v>
          </cell>
          <cell r="CF41">
            <v>2926.8292682926826</v>
          </cell>
          <cell r="CG41">
            <v>-284.62743343029751</v>
          </cell>
          <cell r="CH41">
            <v>2.5670000000000002</v>
          </cell>
        </row>
        <row r="42">
          <cell r="A42" t="str">
            <v>3FL30-200</v>
          </cell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>
            <v>3.75</v>
          </cell>
          <cell r="S42">
            <v>3.75</v>
          </cell>
          <cell r="T42">
            <v>0.25</v>
          </cell>
          <cell r="U42">
            <v>2.2000000000000002</v>
          </cell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 t="str">
            <v>0</v>
          </cell>
          <cell r="BK42">
            <v>0</v>
          </cell>
          <cell r="BL42">
            <v>0</v>
          </cell>
          <cell r="BM42" t="str">
            <v/>
          </cell>
          <cell r="BN42" t="str">
            <v>0</v>
          </cell>
          <cell r="BO42" t="str">
            <v/>
          </cell>
          <cell r="BP42">
            <v>3.75</v>
          </cell>
          <cell r="BQ42">
            <v>3.96</v>
          </cell>
          <cell r="BR42">
            <v>0.20999999999999996</v>
          </cell>
          <cell r="BS42">
            <v>128</v>
          </cell>
          <cell r="BT42">
            <v>121.21212121212122</v>
          </cell>
          <cell r="BU42">
            <v>6.7878787878787818</v>
          </cell>
          <cell r="BV42">
            <v>3.75</v>
          </cell>
          <cell r="BW42">
            <v>4.93</v>
          </cell>
          <cell r="BX42">
            <v>1.1799999999999997</v>
          </cell>
          <cell r="BY42">
            <v>128</v>
          </cell>
          <cell r="BZ42">
            <v>97.363083164300207</v>
          </cell>
          <cell r="CA42">
            <v>30.636916835699793</v>
          </cell>
          <cell r="CB42">
            <v>0.25</v>
          </cell>
          <cell r="CC42">
            <v>0.1</v>
          </cell>
          <cell r="CD42">
            <v>-0.15</v>
          </cell>
          <cell r="CE42">
            <v>1920</v>
          </cell>
          <cell r="CF42">
            <v>4800</v>
          </cell>
          <cell r="CG42">
            <v>-2880</v>
          </cell>
          <cell r="CH42">
            <v>2.2000000000000002</v>
          </cell>
        </row>
        <row r="43">
          <cell r="A43" t="str">
            <v>3FS-412</v>
          </cell>
          <cell r="B43"/>
          <cell r="C43">
            <v>3.9649999999999999</v>
          </cell>
          <cell r="D43"/>
          <cell r="E43"/>
          <cell r="F43"/>
          <cell r="G43"/>
          <cell r="H43">
            <v>2.907</v>
          </cell>
          <cell r="I43">
            <v>6.2359999999999998</v>
          </cell>
          <cell r="J43">
            <v>0.17799999999999999</v>
          </cell>
          <cell r="K43">
            <v>3.0259999999999998</v>
          </cell>
          <cell r="L43"/>
          <cell r="M43"/>
          <cell r="N43">
            <v>12.798999999999999</v>
          </cell>
          <cell r="O43">
            <v>0.14699999999999999</v>
          </cell>
          <cell r="P43">
            <v>3.6</v>
          </cell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 t="str">
            <v>0</v>
          </cell>
          <cell r="BK43">
            <v>0</v>
          </cell>
          <cell r="BL43">
            <v>0</v>
          </cell>
          <cell r="BM43" t="str">
            <v/>
          </cell>
          <cell r="BN43" t="str">
            <v>0</v>
          </cell>
          <cell r="BO43" t="str">
            <v/>
          </cell>
          <cell r="BP43">
            <v>3.4359999999999999</v>
          </cell>
          <cell r="BQ43">
            <v>1.2</v>
          </cell>
          <cell r="BR43">
            <v>-2.2359999999999998</v>
          </cell>
          <cell r="BS43">
            <v>139.69732246798603</v>
          </cell>
          <cell r="BT43">
            <v>400</v>
          </cell>
          <cell r="BU43">
            <v>-260.30267753201394</v>
          </cell>
          <cell r="BV43">
            <v>9.5175000000000001</v>
          </cell>
          <cell r="BW43">
            <v>2.8</v>
          </cell>
          <cell r="BX43">
            <v>-6.7175000000000002</v>
          </cell>
          <cell r="BY43">
            <v>50.433412135539797</v>
          </cell>
          <cell r="BZ43">
            <v>171.42857142857144</v>
          </cell>
          <cell r="CA43">
            <v>-120.99515929303165</v>
          </cell>
          <cell r="CB43">
            <v>0.16249999999999998</v>
          </cell>
          <cell r="CC43">
            <v>0</v>
          </cell>
          <cell r="CD43">
            <v>-0.16249999999999998</v>
          </cell>
          <cell r="CE43">
            <v>2953.8461538461543</v>
          </cell>
          <cell r="CF43" t="str">
            <v>0</v>
          </cell>
          <cell r="CG43">
            <v>2953.8461538461543</v>
          </cell>
          <cell r="CH43">
            <v>3.3129999999999997</v>
          </cell>
        </row>
        <row r="44">
          <cell r="A44" t="str">
            <v>3FS-420</v>
          </cell>
          <cell r="B44"/>
          <cell r="C44"/>
          <cell r="D44"/>
          <cell r="E44"/>
          <cell r="F44"/>
          <cell r="G44"/>
          <cell r="H44">
            <v>6.3579999999999997</v>
          </cell>
          <cell r="I44"/>
          <cell r="J44"/>
          <cell r="K44"/>
          <cell r="L44"/>
          <cell r="M44"/>
          <cell r="N44">
            <v>8.4</v>
          </cell>
          <cell r="O44">
            <v>0.17299999999999999</v>
          </cell>
          <cell r="P44">
            <v>5</v>
          </cell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>
            <v>3.7189999999999999</v>
          </cell>
          <cell r="AC44">
            <v>3.6749999999999998</v>
          </cell>
          <cell r="AD44">
            <v>0.17199999999999999</v>
          </cell>
          <cell r="AE44">
            <v>2.0059999999999998</v>
          </cell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 t="str">
            <v>0</v>
          </cell>
          <cell r="BK44">
            <v>0</v>
          </cell>
          <cell r="BL44">
            <v>0</v>
          </cell>
          <cell r="BM44" t="str">
            <v/>
          </cell>
          <cell r="BN44" t="str">
            <v>0</v>
          </cell>
          <cell r="BO44" t="str">
            <v/>
          </cell>
          <cell r="BP44">
            <v>5.0385</v>
          </cell>
          <cell r="BQ44">
            <v>1.24</v>
          </cell>
          <cell r="BR44">
            <v>-3.7984999999999998</v>
          </cell>
          <cell r="BS44">
            <v>95.26644834772253</v>
          </cell>
          <cell r="BT44">
            <v>387.09677419354841</v>
          </cell>
          <cell r="BU44">
            <v>-291.83032584582588</v>
          </cell>
          <cell r="BV44">
            <v>6.0374999999999996</v>
          </cell>
          <cell r="BW44">
            <v>2.8</v>
          </cell>
          <cell r="BX44">
            <v>-3.2374999999999998</v>
          </cell>
          <cell r="BY44">
            <v>79.50310559006212</v>
          </cell>
          <cell r="BZ44">
            <v>171.42857142857144</v>
          </cell>
          <cell r="CA44">
            <v>-91.925465838509325</v>
          </cell>
          <cell r="CB44">
            <v>0.17249999999999999</v>
          </cell>
          <cell r="CC44">
            <v>0</v>
          </cell>
          <cell r="CD44">
            <v>-0.17249999999999999</v>
          </cell>
          <cell r="CE44">
            <v>2782.608695652174</v>
          </cell>
          <cell r="CF44" t="str">
            <v>0</v>
          </cell>
          <cell r="CG44">
            <v>2782.608695652174</v>
          </cell>
          <cell r="CH44">
            <v>3.5030000000000001</v>
          </cell>
        </row>
        <row r="45">
          <cell r="A45" t="str">
            <v>3FS-424</v>
          </cell>
          <cell r="B45"/>
          <cell r="C45"/>
          <cell r="D45"/>
          <cell r="E45"/>
          <cell r="F45">
            <v>3.375</v>
          </cell>
          <cell r="G45"/>
          <cell r="H45">
            <v>4.7220000000000004</v>
          </cell>
          <cell r="I45">
            <v>6.6769999999999996</v>
          </cell>
          <cell r="J45">
            <v>0.15</v>
          </cell>
          <cell r="K45">
            <v>2.1859999999999999</v>
          </cell>
          <cell r="L45"/>
          <cell r="M45">
            <v>3.1190000000000002</v>
          </cell>
          <cell r="N45">
            <v>28.667000000000002</v>
          </cell>
          <cell r="O45">
            <v>0.17799999999999999</v>
          </cell>
          <cell r="P45">
            <v>6</v>
          </cell>
          <cell r="Q45"/>
          <cell r="R45">
            <v>3.4289999999999998</v>
          </cell>
          <cell r="S45">
            <v>7.4260000000000002</v>
          </cell>
          <cell r="T45">
            <v>0.16200000000000001</v>
          </cell>
          <cell r="U45">
            <v>2.2850000000000001</v>
          </cell>
          <cell r="V45"/>
          <cell r="W45"/>
          <cell r="X45"/>
          <cell r="Y45"/>
          <cell r="Z45"/>
          <cell r="AA45"/>
          <cell r="AB45">
            <v>3.3849999999999998</v>
          </cell>
          <cell r="AC45">
            <v>3.3109999999999999</v>
          </cell>
          <cell r="AD45">
            <v>0.20799999999999999</v>
          </cell>
          <cell r="AE45">
            <v>1.6779999999999999</v>
          </cell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 t="str">
            <v>0</v>
          </cell>
          <cell r="BK45">
            <v>0</v>
          </cell>
          <cell r="BL45">
            <v>0</v>
          </cell>
          <cell r="BM45" t="str">
            <v/>
          </cell>
          <cell r="BN45" t="str">
            <v>0</v>
          </cell>
          <cell r="BO45" t="str">
            <v/>
          </cell>
          <cell r="BP45">
            <v>3.6637500000000003</v>
          </cell>
          <cell r="BQ45">
            <v>1.26</v>
          </cell>
          <cell r="BR45">
            <v>-2.4037500000000005</v>
          </cell>
          <cell r="BS45">
            <v>131.01330603889457</v>
          </cell>
          <cell r="BT45">
            <v>380.95238095238096</v>
          </cell>
          <cell r="BU45">
            <v>-249.93907491348639</v>
          </cell>
          <cell r="BV45">
            <v>11.520250000000001</v>
          </cell>
          <cell r="BW45">
            <v>2.8</v>
          </cell>
          <cell r="BX45">
            <v>-8.7202500000000001</v>
          </cell>
          <cell r="BY45">
            <v>41.665762461752131</v>
          </cell>
          <cell r="BZ45">
            <v>171.42857142857144</v>
          </cell>
          <cell r="CA45">
            <v>-129.76280896681931</v>
          </cell>
          <cell r="CB45">
            <v>0.17449999999999999</v>
          </cell>
          <cell r="CC45">
            <v>0</v>
          </cell>
          <cell r="CD45">
            <v>-0.17449999999999999</v>
          </cell>
          <cell r="CE45">
            <v>2750.7163323782238</v>
          </cell>
          <cell r="CF45" t="str">
            <v>0</v>
          </cell>
          <cell r="CG45">
            <v>2750.7163323782238</v>
          </cell>
          <cell r="CH45">
            <v>3.1048</v>
          </cell>
        </row>
        <row r="46">
          <cell r="A46" t="str">
            <v>3FS-428</v>
          </cell>
          <cell r="B46"/>
          <cell r="C46">
            <v>1.7310000000000001</v>
          </cell>
          <cell r="D46">
            <v>11.493</v>
          </cell>
          <cell r="E46">
            <v>0.17399999999999999</v>
          </cell>
          <cell r="F46">
            <v>3.375</v>
          </cell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>
            <v>2.9209999999999998</v>
          </cell>
          <cell r="S46">
            <v>6.6059999999999999</v>
          </cell>
          <cell r="T46"/>
          <cell r="U46"/>
          <cell r="V46"/>
          <cell r="W46">
            <v>2.8</v>
          </cell>
          <cell r="X46">
            <v>6.9539999999999997</v>
          </cell>
          <cell r="Y46">
            <v>0.192</v>
          </cell>
          <cell r="Z46">
            <v>2.5</v>
          </cell>
          <cell r="AA46"/>
          <cell r="AB46">
            <v>3.2890000000000001</v>
          </cell>
          <cell r="AC46">
            <v>4.1070000000000002</v>
          </cell>
          <cell r="AD46">
            <v>0.19</v>
          </cell>
          <cell r="AE46">
            <v>1.256</v>
          </cell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 t="str">
            <v>0</v>
          </cell>
          <cell r="BK46">
            <v>0</v>
          </cell>
          <cell r="BL46">
            <v>0</v>
          </cell>
          <cell r="BM46" t="str">
            <v/>
          </cell>
          <cell r="BN46" t="str">
            <v>0</v>
          </cell>
          <cell r="BO46" t="str">
            <v/>
          </cell>
          <cell r="BP46">
            <v>2.6852499999999999</v>
          </cell>
          <cell r="BQ46">
            <v>1.29</v>
          </cell>
          <cell r="BR46">
            <v>-1.3952499999999999</v>
          </cell>
          <cell r="BS46">
            <v>178.75430593054651</v>
          </cell>
          <cell r="BT46">
            <v>372.09302325581393</v>
          </cell>
          <cell r="BU46">
            <v>-193.33871732526742</v>
          </cell>
          <cell r="BV46">
            <v>7.29</v>
          </cell>
          <cell r="BW46">
            <v>2.8</v>
          </cell>
          <cell r="BX46">
            <v>-4.49</v>
          </cell>
          <cell r="BY46">
            <v>65.843621399176953</v>
          </cell>
          <cell r="BZ46">
            <v>171.42857142857144</v>
          </cell>
          <cell r="CA46">
            <v>-105.58495002939449</v>
          </cell>
          <cell r="CB46">
            <v>0.18533333333333335</v>
          </cell>
          <cell r="CC46">
            <v>0</v>
          </cell>
          <cell r="CD46">
            <v>-0.18533333333333335</v>
          </cell>
          <cell r="CE46">
            <v>2589.9280575539565</v>
          </cell>
          <cell r="CF46" t="str">
            <v>0</v>
          </cell>
          <cell r="CG46">
            <v>2589.9280575539565</v>
          </cell>
          <cell r="CH46">
            <v>2.3770000000000002</v>
          </cell>
        </row>
        <row r="47">
          <cell r="A47" t="str">
            <v>3FS-436</v>
          </cell>
          <cell r="B47"/>
          <cell r="C47">
            <v>1.133</v>
          </cell>
          <cell r="D47">
            <v>4.8109999999999999</v>
          </cell>
          <cell r="E47">
            <v>0.17799999999999999</v>
          </cell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>
            <v>2.6789999999999998</v>
          </cell>
          <cell r="V47"/>
          <cell r="W47"/>
          <cell r="X47"/>
          <cell r="Y47"/>
          <cell r="Z47"/>
          <cell r="AA47"/>
          <cell r="AB47">
            <v>2.863</v>
          </cell>
          <cell r="AC47">
            <v>7.5780000000000003</v>
          </cell>
          <cell r="AD47">
            <v>0.23599999999999999</v>
          </cell>
          <cell r="AE47">
            <v>1.5109999999999999</v>
          </cell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 t="str">
            <v>0</v>
          </cell>
          <cell r="BK47">
            <v>0</v>
          </cell>
          <cell r="BL47">
            <v>0</v>
          </cell>
          <cell r="BM47" t="str">
            <v/>
          </cell>
          <cell r="BN47" t="str">
            <v>0</v>
          </cell>
          <cell r="BO47" t="str">
            <v/>
          </cell>
          <cell r="BP47">
            <v>1.998</v>
          </cell>
          <cell r="BQ47">
            <v>1.33</v>
          </cell>
          <cell r="BR47">
            <v>-0.66799999999999993</v>
          </cell>
          <cell r="BS47">
            <v>240.24024024024024</v>
          </cell>
          <cell r="BT47">
            <v>360.90225563909775</v>
          </cell>
          <cell r="BU47">
            <v>-120.66201539885751</v>
          </cell>
          <cell r="BV47">
            <v>6.1944999999999997</v>
          </cell>
          <cell r="BW47">
            <v>2.8</v>
          </cell>
          <cell r="BX47">
            <v>-3.3944999999999999</v>
          </cell>
          <cell r="BY47">
            <v>77.488094277181375</v>
          </cell>
          <cell r="BZ47">
            <v>171.42857142857144</v>
          </cell>
          <cell r="CA47">
            <v>-93.94047715139007</v>
          </cell>
          <cell r="CB47">
            <v>0.20699999999999999</v>
          </cell>
          <cell r="CC47">
            <v>0</v>
          </cell>
          <cell r="CD47">
            <v>-0.20699999999999999</v>
          </cell>
          <cell r="CE47">
            <v>2318.840579710145</v>
          </cell>
          <cell r="CF47" t="str">
            <v>0</v>
          </cell>
          <cell r="CG47">
            <v>2318.840579710145</v>
          </cell>
          <cell r="CH47">
            <v>2.0949999999999998</v>
          </cell>
        </row>
        <row r="48">
          <cell r="A48" t="str">
            <v>3FS-512</v>
          </cell>
          <cell r="B48"/>
          <cell r="C48"/>
          <cell r="D48"/>
          <cell r="E48"/>
          <cell r="F48"/>
          <cell r="G48"/>
          <cell r="H48">
            <v>7.1189999999999998</v>
          </cell>
          <cell r="I48">
            <v>7.8710000000000004</v>
          </cell>
          <cell r="J48">
            <v>0.14000000000000001</v>
          </cell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>
            <v>2.3479999999999999</v>
          </cell>
          <cell r="V48"/>
          <cell r="W48"/>
          <cell r="X48"/>
          <cell r="Y48">
            <v>0.5</v>
          </cell>
          <cell r="Z48">
            <v>3.403</v>
          </cell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 t="str">
            <v>0</v>
          </cell>
          <cell r="BK48">
            <v>0</v>
          </cell>
          <cell r="BL48">
            <v>0</v>
          </cell>
          <cell r="BM48" t="str">
            <v/>
          </cell>
          <cell r="BN48" t="str">
            <v>0</v>
          </cell>
          <cell r="BO48" t="str">
            <v/>
          </cell>
          <cell r="BP48">
            <v>7.1189999999999998</v>
          </cell>
          <cell r="BQ48">
            <v>0</v>
          </cell>
          <cell r="BR48">
            <v>-7.1189999999999998</v>
          </cell>
          <cell r="BS48">
            <v>67.425200168563009</v>
          </cell>
          <cell r="BT48" t="str">
            <v>0</v>
          </cell>
          <cell r="BU48">
            <v>67.425200168563009</v>
          </cell>
          <cell r="BV48">
            <v>7.8710000000000004</v>
          </cell>
          <cell r="BW48">
            <v>0</v>
          </cell>
          <cell r="BX48">
            <v>-7.8710000000000004</v>
          </cell>
          <cell r="BY48">
            <v>60.983356625587597</v>
          </cell>
          <cell r="BZ48" t="str">
            <v>0</v>
          </cell>
          <cell r="CA48">
            <v>60.983356625587597</v>
          </cell>
          <cell r="CB48">
            <v>0.32</v>
          </cell>
          <cell r="CC48">
            <v>0</v>
          </cell>
          <cell r="CD48">
            <v>-0.32</v>
          </cell>
          <cell r="CE48">
            <v>1500</v>
          </cell>
          <cell r="CF48" t="str">
            <v>0</v>
          </cell>
          <cell r="CG48">
            <v>1500</v>
          </cell>
          <cell r="CH48">
            <v>2.8754999999999997</v>
          </cell>
        </row>
        <row r="49">
          <cell r="A49" t="str">
            <v>3FS-520</v>
          </cell>
          <cell r="B49"/>
          <cell r="C49">
            <v>2.016</v>
          </cell>
          <cell r="D49">
            <v>8.2569999999999997</v>
          </cell>
          <cell r="E49">
            <v>0.159</v>
          </cell>
          <cell r="F49">
            <v>2.7610000000000001</v>
          </cell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>
            <v>2.5350000000000001</v>
          </cell>
          <cell r="AC49">
            <v>5.0839999999999996</v>
          </cell>
          <cell r="AD49">
            <v>0.246</v>
          </cell>
          <cell r="AE49">
            <v>1.9850000000000001</v>
          </cell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 t="str">
            <v>0</v>
          </cell>
          <cell r="BK49">
            <v>0</v>
          </cell>
          <cell r="BL49">
            <v>0</v>
          </cell>
          <cell r="BM49" t="str">
            <v/>
          </cell>
          <cell r="BN49" t="str">
            <v>0</v>
          </cell>
          <cell r="BO49" t="str">
            <v/>
          </cell>
          <cell r="BP49">
            <v>2.2755000000000001</v>
          </cell>
          <cell r="BQ49">
            <v>1.0900000000000001</v>
          </cell>
          <cell r="BR49">
            <v>-1.1855</v>
          </cell>
          <cell r="BS49">
            <v>210.94264996704021</v>
          </cell>
          <cell r="BT49">
            <v>440.36697247706417</v>
          </cell>
          <cell r="BU49">
            <v>-229.42432251002396</v>
          </cell>
          <cell r="BV49">
            <v>6.6704999999999997</v>
          </cell>
          <cell r="BW49">
            <v>3</v>
          </cell>
          <cell r="BX49">
            <v>-3.6704999999999997</v>
          </cell>
          <cell r="BY49">
            <v>71.958623791319994</v>
          </cell>
          <cell r="BZ49">
            <v>160</v>
          </cell>
          <cell r="CA49">
            <v>-88.041376208680006</v>
          </cell>
          <cell r="CB49">
            <v>0.20250000000000001</v>
          </cell>
          <cell r="CC49">
            <v>0</v>
          </cell>
          <cell r="CD49">
            <v>-0.20250000000000001</v>
          </cell>
          <cell r="CE49">
            <v>2370.3703703703704</v>
          </cell>
          <cell r="CF49" t="str">
            <v>0</v>
          </cell>
          <cell r="CG49">
            <v>2370.3703703703704</v>
          </cell>
          <cell r="CH49">
            <v>2.3730000000000002</v>
          </cell>
        </row>
        <row r="50">
          <cell r="A50" t="str">
            <v>3FS-524</v>
          </cell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>
            <v>4.47</v>
          </cell>
          <cell r="X50">
            <v>10.166</v>
          </cell>
          <cell r="Y50">
            <v>0.16700000000000001</v>
          </cell>
          <cell r="Z50">
            <v>2.11</v>
          </cell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 t="str">
            <v>0</v>
          </cell>
          <cell r="BK50">
            <v>0</v>
          </cell>
          <cell r="BL50">
            <v>0</v>
          </cell>
          <cell r="BM50" t="str">
            <v/>
          </cell>
          <cell r="BN50" t="str">
            <v>0</v>
          </cell>
          <cell r="BO50" t="str">
            <v/>
          </cell>
          <cell r="BP50">
            <v>4.47</v>
          </cell>
          <cell r="BQ50">
            <v>1.1000000000000001</v>
          </cell>
          <cell r="BR50">
            <v>-3.3699999999999997</v>
          </cell>
          <cell r="BS50">
            <v>107.38255033557047</v>
          </cell>
          <cell r="BT50">
            <v>436.36363636363632</v>
          </cell>
          <cell r="BU50">
            <v>-328.98108602806587</v>
          </cell>
          <cell r="BV50">
            <v>10.166</v>
          </cell>
          <cell r="BW50">
            <v>3</v>
          </cell>
          <cell r="BX50">
            <v>-7.1660000000000004</v>
          </cell>
          <cell r="BY50">
            <v>47.21621089907535</v>
          </cell>
          <cell r="BZ50">
            <v>160</v>
          </cell>
          <cell r="CA50">
            <v>-112.78378910092465</v>
          </cell>
          <cell r="CB50">
            <v>0.16700000000000001</v>
          </cell>
          <cell r="CC50">
            <v>0</v>
          </cell>
          <cell r="CD50">
            <v>-0.16700000000000001</v>
          </cell>
          <cell r="CE50">
            <v>2874.2514970059879</v>
          </cell>
          <cell r="CF50" t="str">
            <v>0</v>
          </cell>
          <cell r="CG50">
            <v>2874.2514970059879</v>
          </cell>
          <cell r="CH50">
            <v>2.11</v>
          </cell>
        </row>
        <row r="51">
          <cell r="A51" t="str">
            <v>3FS-536</v>
          </cell>
          <cell r="B51"/>
          <cell r="C51"/>
          <cell r="D51"/>
          <cell r="E51"/>
          <cell r="F51"/>
          <cell r="G51"/>
          <cell r="H51"/>
          <cell r="I51">
            <v>9.1219999999999999</v>
          </cell>
          <cell r="J51">
            <v>0.154</v>
          </cell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>
            <v>3.51</v>
          </cell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 t="str">
            <v>0</v>
          </cell>
          <cell r="BK51">
            <v>0</v>
          </cell>
          <cell r="BL51">
            <v>0</v>
          </cell>
          <cell r="BM51" t="str">
            <v/>
          </cell>
          <cell r="BN51" t="str">
            <v>0</v>
          </cell>
          <cell r="BO51" t="str">
            <v/>
          </cell>
          <cell r="BP51" t="str">
            <v>0</v>
          </cell>
          <cell r="BQ51">
            <v>1.1499999999999999</v>
          </cell>
          <cell r="BR51">
            <v>1.1499999999999999</v>
          </cell>
          <cell r="BS51" t="str">
            <v/>
          </cell>
          <cell r="BT51">
            <v>417.39130434782612</v>
          </cell>
          <cell r="BU51" t="str">
            <v/>
          </cell>
          <cell r="BV51">
            <v>9.1219999999999999</v>
          </cell>
          <cell r="BW51">
            <v>3</v>
          </cell>
          <cell r="BX51">
            <v>-6.1219999999999999</v>
          </cell>
          <cell r="BY51">
            <v>52.620039465029599</v>
          </cell>
          <cell r="BZ51">
            <v>160</v>
          </cell>
          <cell r="CA51">
            <v>-107.37996053497039</v>
          </cell>
          <cell r="CB51">
            <v>0.154</v>
          </cell>
          <cell r="CC51">
            <v>0</v>
          </cell>
          <cell r="CD51">
            <v>-0.154</v>
          </cell>
          <cell r="CE51">
            <v>3116.8831168831171</v>
          </cell>
          <cell r="CF51" t="str">
            <v>0</v>
          </cell>
          <cell r="CG51">
            <v>3116.8831168831171</v>
          </cell>
          <cell r="CH51">
            <v>3.51</v>
          </cell>
        </row>
        <row r="52">
          <cell r="A52" t="str">
            <v>3FS-556</v>
          </cell>
          <cell r="B52"/>
          <cell r="C52"/>
          <cell r="D52"/>
          <cell r="E52"/>
          <cell r="F52"/>
          <cell r="G52"/>
          <cell r="H52">
            <v>5.9080000000000004</v>
          </cell>
          <cell r="I52">
            <v>9.35</v>
          </cell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>
            <v>1.8620000000000001</v>
          </cell>
          <cell r="V52"/>
          <cell r="W52">
            <v>4.7679999999999998</v>
          </cell>
          <cell r="X52">
            <v>13.532999999999999</v>
          </cell>
          <cell r="Y52">
            <v>0.17299999999999999</v>
          </cell>
          <cell r="Z52">
            <v>4</v>
          </cell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 t="str">
            <v>0</v>
          </cell>
          <cell r="BK52">
            <v>0</v>
          </cell>
          <cell r="BL52">
            <v>0</v>
          </cell>
          <cell r="BM52" t="str">
            <v/>
          </cell>
          <cell r="BN52" t="str">
            <v>0</v>
          </cell>
          <cell r="BO52" t="str">
            <v/>
          </cell>
          <cell r="BP52">
            <v>5.3380000000000001</v>
          </cell>
          <cell r="BQ52">
            <v>1.23</v>
          </cell>
          <cell r="BR52">
            <v>-4.1080000000000005</v>
          </cell>
          <cell r="BS52">
            <v>89.92131884600974</v>
          </cell>
          <cell r="BT52">
            <v>390.2439024390244</v>
          </cell>
          <cell r="BU52">
            <v>-300.32258359301466</v>
          </cell>
          <cell r="BV52">
            <v>11.4415</v>
          </cell>
          <cell r="BW52">
            <v>3</v>
          </cell>
          <cell r="BX52">
            <v>-8.4414999999999996</v>
          </cell>
          <cell r="BY52">
            <v>41.952541187781321</v>
          </cell>
          <cell r="BZ52">
            <v>160</v>
          </cell>
          <cell r="CA52">
            <v>-118.04745881221868</v>
          </cell>
          <cell r="CB52">
            <v>0.17299999999999999</v>
          </cell>
          <cell r="CC52">
            <v>0</v>
          </cell>
          <cell r="CD52">
            <v>-0.17299999999999999</v>
          </cell>
          <cell r="CE52">
            <v>2774.5664739884396</v>
          </cell>
          <cell r="CF52" t="str">
            <v>0</v>
          </cell>
          <cell r="CG52">
            <v>2774.5664739884396</v>
          </cell>
          <cell r="CH52">
            <v>2.931</v>
          </cell>
        </row>
        <row r="53">
          <cell r="A53" t="str">
            <v>9707455014(REP28-15)</v>
          </cell>
          <cell r="B53"/>
          <cell r="C53">
            <v>0.84299999999999997</v>
          </cell>
          <cell r="D53">
            <v>4.0739999999999998</v>
          </cell>
          <cell r="E53">
            <v>0.16400000000000001</v>
          </cell>
          <cell r="F53">
            <v>1.02</v>
          </cell>
          <cell r="G53"/>
          <cell r="H53">
            <v>0.89400000000000002</v>
          </cell>
          <cell r="I53">
            <v>4.5439999999999996</v>
          </cell>
          <cell r="J53">
            <v>0.434</v>
          </cell>
          <cell r="K53">
            <v>0.89500000000000002</v>
          </cell>
          <cell r="L53"/>
          <cell r="M53">
            <v>1.0669999999999999</v>
          </cell>
          <cell r="N53">
            <v>3.1930000000000001</v>
          </cell>
          <cell r="O53">
            <v>0.18</v>
          </cell>
          <cell r="P53">
            <v>1.4870000000000001</v>
          </cell>
          <cell r="Q53"/>
          <cell r="R53"/>
          <cell r="S53"/>
          <cell r="T53"/>
          <cell r="U53">
            <v>1.163</v>
          </cell>
          <cell r="V53"/>
          <cell r="W53"/>
          <cell r="X53"/>
          <cell r="Y53"/>
          <cell r="Z53"/>
          <cell r="AA53"/>
          <cell r="AB53">
            <v>0.79</v>
          </cell>
          <cell r="AC53">
            <v>2.8220000000000001</v>
          </cell>
          <cell r="AD53">
            <v>0.18</v>
          </cell>
          <cell r="AE53">
            <v>1.119</v>
          </cell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 t="str">
            <v>0</v>
          </cell>
          <cell r="BK53">
            <v>0</v>
          </cell>
          <cell r="BL53">
            <v>0</v>
          </cell>
          <cell r="BM53" t="str">
            <v/>
          </cell>
          <cell r="BN53" t="str">
            <v>0</v>
          </cell>
          <cell r="BO53" t="str">
            <v/>
          </cell>
          <cell r="BP53">
            <v>0.89850000000000008</v>
          </cell>
          <cell r="BQ53">
            <v>1.79</v>
          </cell>
          <cell r="BR53">
            <v>0.89149999999999996</v>
          </cell>
          <cell r="BS53">
            <v>534.22370617696151</v>
          </cell>
          <cell r="BT53">
            <v>268.15642458100558</v>
          </cell>
          <cell r="BU53">
            <v>266.06728159595593</v>
          </cell>
          <cell r="BV53">
            <v>3.6582499999999998</v>
          </cell>
          <cell r="BW53">
            <v>2.1259999999999999</v>
          </cell>
          <cell r="BX53">
            <v>-1.5322499999999999</v>
          </cell>
          <cell r="BY53">
            <v>131.21027813845419</v>
          </cell>
          <cell r="BZ53">
            <v>225.77610536218251</v>
          </cell>
          <cell r="CA53">
            <v>-94.56582722372832</v>
          </cell>
          <cell r="CB53">
            <v>0.23949999999999999</v>
          </cell>
          <cell r="CC53">
            <v>0.112</v>
          </cell>
          <cell r="CD53">
            <v>-0.1275</v>
          </cell>
          <cell r="CE53">
            <v>2004.1753653444678</v>
          </cell>
          <cell r="CF53">
            <v>4285.7142857142853</v>
          </cell>
          <cell r="CG53">
            <v>-2281.5389203698178</v>
          </cell>
          <cell r="CH53">
            <v>1.1368</v>
          </cell>
        </row>
        <row r="54">
          <cell r="A54" t="str">
            <v>AHD-T16579(A23123)</v>
          </cell>
          <cell r="B54"/>
          <cell r="C54"/>
          <cell r="D54"/>
          <cell r="E54"/>
          <cell r="F54"/>
          <cell r="G54"/>
          <cell r="H54"/>
          <cell r="I54">
            <v>3.9</v>
          </cell>
          <cell r="J54"/>
          <cell r="K54"/>
          <cell r="L54"/>
          <cell r="M54"/>
          <cell r="N54"/>
          <cell r="O54"/>
          <cell r="P54"/>
          <cell r="Q54"/>
          <cell r="R54">
            <v>2.286</v>
          </cell>
          <cell r="S54">
            <v>4.1760000000000002</v>
          </cell>
          <cell r="T54"/>
          <cell r="U54">
            <v>1.8109999999999999</v>
          </cell>
          <cell r="V54"/>
          <cell r="W54"/>
          <cell r="X54"/>
          <cell r="Y54"/>
          <cell r="Z54">
            <v>3.9929999999999999</v>
          </cell>
          <cell r="AA54"/>
          <cell r="AB54">
            <v>3</v>
          </cell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 t="str">
            <v>0</v>
          </cell>
          <cell r="BK54">
            <v>0</v>
          </cell>
          <cell r="BL54">
            <v>0</v>
          </cell>
          <cell r="BM54">
            <v>574.57505386641105</v>
          </cell>
          <cell r="BN54" t="str">
            <v>0</v>
          </cell>
          <cell r="BO54">
            <v>574.57505386641105</v>
          </cell>
          <cell r="BP54">
            <v>2.6429999999999998</v>
          </cell>
          <cell r="BQ54">
            <v>2.9790000000000001</v>
          </cell>
          <cell r="BR54">
            <v>0.3360000000000003</v>
          </cell>
          <cell r="BS54">
            <v>181.61180476730988</v>
          </cell>
          <cell r="BT54">
            <v>161.12789526686808</v>
          </cell>
          <cell r="BU54">
            <v>20.483909500441797</v>
          </cell>
          <cell r="BV54">
            <v>4.0380000000000003</v>
          </cell>
          <cell r="BW54">
            <v>3.83</v>
          </cell>
          <cell r="BX54">
            <v>-0.20800000000000018</v>
          </cell>
          <cell r="BY54">
            <v>118.8707280832095</v>
          </cell>
          <cell r="BZ54">
            <v>125.32637075718016</v>
          </cell>
          <cell r="CA54">
            <v>-6.4556426739706581</v>
          </cell>
          <cell r="CB54" t="str">
            <v>0</v>
          </cell>
          <cell r="CC54">
            <v>0.122</v>
          </cell>
          <cell r="CD54">
            <v>0.122</v>
          </cell>
          <cell r="CE54" t="str">
            <v/>
          </cell>
          <cell r="CF54">
            <v>3934.4262295081967</v>
          </cell>
          <cell r="CG54" t="str">
            <v/>
          </cell>
          <cell r="CH54">
            <v>2.9020000000000001</v>
          </cell>
        </row>
        <row r="55">
          <cell r="A55" t="str">
            <v>AHD-T16581(A23223)</v>
          </cell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>
            <v>2.0129999999999999</v>
          </cell>
          <cell r="X55">
            <v>4.6580000000000004</v>
          </cell>
          <cell r="Y55"/>
          <cell r="Z55">
            <v>2.9550000000000001</v>
          </cell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 t="str">
            <v>0</v>
          </cell>
          <cell r="BK55">
            <v>0</v>
          </cell>
          <cell r="BL55">
            <v>0</v>
          </cell>
          <cell r="BM55" t="str">
            <v/>
          </cell>
          <cell r="BN55" t="str">
            <v>0</v>
          </cell>
          <cell r="BO55" t="str">
            <v/>
          </cell>
          <cell r="BP55">
            <v>2.0129999999999999</v>
          </cell>
          <cell r="BQ55">
            <v>3.1520000000000001</v>
          </cell>
          <cell r="BR55">
            <v>1.1390000000000002</v>
          </cell>
          <cell r="BS55">
            <v>238.45007451564831</v>
          </cell>
          <cell r="BT55">
            <v>152.28426395939087</v>
          </cell>
          <cell r="BU55">
            <v>86.165810556257441</v>
          </cell>
          <cell r="BV55">
            <v>4.6580000000000004</v>
          </cell>
          <cell r="BW55">
            <v>4.3620000000000001</v>
          </cell>
          <cell r="BX55">
            <v>-0.29600000000000026</v>
          </cell>
          <cell r="BY55">
            <v>103.048518677544</v>
          </cell>
          <cell r="BZ55">
            <v>110.04126547455296</v>
          </cell>
          <cell r="CA55">
            <v>-6.9927467970089623</v>
          </cell>
          <cell r="CB55" t="str">
            <v>0</v>
          </cell>
          <cell r="CC55">
            <v>0.13500000000000001</v>
          </cell>
          <cell r="CD55">
            <v>0.13500000000000001</v>
          </cell>
          <cell r="CE55" t="str">
            <v/>
          </cell>
          <cell r="CF55">
            <v>3555.5555555555552</v>
          </cell>
          <cell r="CG55" t="str">
            <v/>
          </cell>
          <cell r="CH55">
            <v>2.9550000000000001</v>
          </cell>
        </row>
        <row r="56">
          <cell r="A56" t="str">
            <v>AHD-T16624(A23224)</v>
          </cell>
          <cell r="B56"/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>
            <v>0.98</v>
          </cell>
          <cell r="X56"/>
          <cell r="Y56"/>
          <cell r="Z56"/>
          <cell r="AA56"/>
          <cell r="AB56"/>
          <cell r="AC56">
            <v>2.532</v>
          </cell>
          <cell r="AD56"/>
          <cell r="AE56">
            <v>4</v>
          </cell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 t="str">
            <v>0</v>
          </cell>
          <cell r="BK56">
            <v>0</v>
          </cell>
          <cell r="BL56">
            <v>0</v>
          </cell>
          <cell r="BM56" t="str">
            <v/>
          </cell>
          <cell r="BN56" t="str">
            <v>0</v>
          </cell>
          <cell r="BO56" t="str">
            <v/>
          </cell>
          <cell r="BP56">
            <v>0.98</v>
          </cell>
          <cell r="BQ56">
            <v>2.7309999999999999</v>
          </cell>
          <cell r="BR56">
            <v>1.7509999999999999</v>
          </cell>
          <cell r="BS56">
            <v>489.79591836734693</v>
          </cell>
          <cell r="BT56">
            <v>175.75979494690591</v>
          </cell>
          <cell r="BU56">
            <v>314.03612342044102</v>
          </cell>
          <cell r="BV56">
            <v>2.532</v>
          </cell>
          <cell r="BW56">
            <v>4.37</v>
          </cell>
          <cell r="BX56">
            <v>1.8380000000000001</v>
          </cell>
          <cell r="BY56">
            <v>189.57345971563981</v>
          </cell>
          <cell r="BZ56">
            <v>109.83981693363845</v>
          </cell>
          <cell r="CA56">
            <v>79.733642782001368</v>
          </cell>
          <cell r="CB56" t="str">
            <v>0</v>
          </cell>
          <cell r="CC56">
            <v>0.152</v>
          </cell>
          <cell r="CD56">
            <v>0.152</v>
          </cell>
          <cell r="CE56" t="str">
            <v/>
          </cell>
          <cell r="CF56">
            <v>3157.8947368421054</v>
          </cell>
          <cell r="CG56" t="str">
            <v/>
          </cell>
          <cell r="CH56">
            <v>4</v>
          </cell>
        </row>
        <row r="57">
          <cell r="A57" t="str">
            <v>CH-76-TM1</v>
          </cell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>
            <v>1.71</v>
          </cell>
          <cell r="X57">
            <v>6.76</v>
          </cell>
          <cell r="Y57">
            <v>0.16200000000000001</v>
          </cell>
          <cell r="Z57">
            <v>1.169</v>
          </cell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 t="str">
            <v>0</v>
          </cell>
          <cell r="BK57">
            <v>0</v>
          </cell>
          <cell r="BL57">
            <v>0</v>
          </cell>
          <cell r="BM57" t="str">
            <v/>
          </cell>
          <cell r="BN57" t="str">
            <v>0</v>
          </cell>
          <cell r="BO57" t="str">
            <v/>
          </cell>
          <cell r="BP57">
            <v>1.71</v>
          </cell>
          <cell r="BQ57">
            <v>0.89</v>
          </cell>
          <cell r="BR57">
            <v>-0.82</v>
          </cell>
          <cell r="BS57">
            <v>280.70175438596493</v>
          </cell>
          <cell r="BT57">
            <v>539.32584269662925</v>
          </cell>
          <cell r="BU57">
            <v>-258.62408831066432</v>
          </cell>
          <cell r="BV57">
            <v>6.76</v>
          </cell>
          <cell r="BW57">
            <v>2.5499999999999998</v>
          </cell>
          <cell r="BX57">
            <v>-4.21</v>
          </cell>
          <cell r="BY57">
            <v>71.005917159763314</v>
          </cell>
          <cell r="BZ57">
            <v>188.23529411764707</v>
          </cell>
          <cell r="CA57">
            <v>-117.22937695788376</v>
          </cell>
          <cell r="CB57">
            <v>0.16200000000000001</v>
          </cell>
          <cell r="CC57">
            <v>0</v>
          </cell>
          <cell r="CD57">
            <v>-0.16200000000000001</v>
          </cell>
          <cell r="CE57">
            <v>2962.962962962963</v>
          </cell>
          <cell r="CF57" t="str">
            <v>0</v>
          </cell>
          <cell r="CG57">
            <v>2962.962962962963</v>
          </cell>
          <cell r="CH57">
            <v>1.169</v>
          </cell>
        </row>
        <row r="58">
          <cell r="A58" t="str">
            <v>CTH1432-A</v>
          </cell>
          <cell r="B58"/>
          <cell r="C58"/>
          <cell r="D58"/>
          <cell r="E58"/>
          <cell r="F58"/>
          <cell r="G58"/>
          <cell r="H58">
            <v>1.202</v>
          </cell>
          <cell r="I58">
            <v>0.81599999999999995</v>
          </cell>
          <cell r="J58"/>
          <cell r="K58">
            <v>1.1659999999999999</v>
          </cell>
          <cell r="L58"/>
          <cell r="M58"/>
          <cell r="N58"/>
          <cell r="O58"/>
          <cell r="P58">
            <v>1.375</v>
          </cell>
          <cell r="Q58"/>
          <cell r="R58">
            <v>1.07</v>
          </cell>
          <cell r="S58">
            <v>1.006</v>
          </cell>
          <cell r="T58"/>
          <cell r="U58">
            <v>0.71699999999999997</v>
          </cell>
          <cell r="V58"/>
          <cell r="W58"/>
          <cell r="X58"/>
          <cell r="Y58"/>
          <cell r="Z58">
            <v>1.92</v>
          </cell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 t="str">
            <v>0</v>
          </cell>
          <cell r="BK58">
            <v>0</v>
          </cell>
          <cell r="BL58">
            <v>0</v>
          </cell>
          <cell r="BM58" t="str">
            <v/>
          </cell>
          <cell r="BN58" t="str">
            <v>0</v>
          </cell>
          <cell r="BO58" t="str">
            <v/>
          </cell>
          <cell r="BP58">
            <v>1.1360000000000001</v>
          </cell>
          <cell r="BQ58">
            <v>0.98299999999999998</v>
          </cell>
          <cell r="BR58">
            <v>-0.15300000000000014</v>
          </cell>
          <cell r="BS58">
            <v>422.53521126760558</v>
          </cell>
          <cell r="BT58">
            <v>488.30111902339775</v>
          </cell>
          <cell r="BU58">
            <v>-65.765907755792171</v>
          </cell>
          <cell r="BV58">
            <v>0.91100000000000003</v>
          </cell>
          <cell r="BW58">
            <v>1.054</v>
          </cell>
          <cell r="BX58">
            <v>0.14300000000000002</v>
          </cell>
          <cell r="BY58">
            <v>526.89352360043904</v>
          </cell>
          <cell r="BZ58">
            <v>455.40796963946866</v>
          </cell>
          <cell r="CA58">
            <v>71.485553960970378</v>
          </cell>
          <cell r="CB58" t="str">
            <v>0</v>
          </cell>
          <cell r="CC58">
            <v>0</v>
          </cell>
          <cell r="CD58">
            <v>0</v>
          </cell>
          <cell r="CE58" t="str">
            <v/>
          </cell>
          <cell r="CF58" t="str">
            <v>0</v>
          </cell>
          <cell r="CG58" t="str">
            <v/>
          </cell>
          <cell r="CH58">
            <v>1.2945</v>
          </cell>
        </row>
        <row r="59">
          <cell r="A59" t="str">
            <v>CTH1466-A</v>
          </cell>
          <cell r="B59"/>
          <cell r="C59">
            <v>1.552</v>
          </cell>
          <cell r="D59">
            <v>4.2859999999999996</v>
          </cell>
          <cell r="E59"/>
          <cell r="F59">
            <v>1.837</v>
          </cell>
          <cell r="G59"/>
          <cell r="H59"/>
          <cell r="I59"/>
          <cell r="J59"/>
          <cell r="K59"/>
          <cell r="L59"/>
          <cell r="M59">
            <v>1.4510000000000001</v>
          </cell>
          <cell r="N59">
            <v>1.948</v>
          </cell>
          <cell r="O59"/>
          <cell r="P59">
            <v>0.97399999999999998</v>
          </cell>
          <cell r="Q59"/>
          <cell r="R59"/>
          <cell r="S59">
            <v>1.0740000000000001</v>
          </cell>
          <cell r="T59"/>
          <cell r="U59">
            <v>5.1710000000000003</v>
          </cell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 t="str">
            <v>0</v>
          </cell>
          <cell r="BK59">
            <v>0</v>
          </cell>
          <cell r="BL59">
            <v>0</v>
          </cell>
          <cell r="BM59" t="str">
            <v/>
          </cell>
          <cell r="BN59" t="str">
            <v>0</v>
          </cell>
          <cell r="BO59" t="str">
            <v/>
          </cell>
          <cell r="BP59">
            <v>1.5015000000000001</v>
          </cell>
          <cell r="BQ59">
            <v>1.69</v>
          </cell>
          <cell r="BR59">
            <v>0.18849999999999989</v>
          </cell>
          <cell r="BS59">
            <v>319.68031968031966</v>
          </cell>
          <cell r="BT59">
            <v>284.02366863905326</v>
          </cell>
          <cell r="BU59">
            <v>35.6566510412664</v>
          </cell>
          <cell r="BV59">
            <v>2.4359999999999999</v>
          </cell>
          <cell r="BW59">
            <v>0.6</v>
          </cell>
          <cell r="BX59">
            <v>-1.8359999999999999</v>
          </cell>
          <cell r="BY59">
            <v>197.04433497536945</v>
          </cell>
          <cell r="BZ59">
            <v>800</v>
          </cell>
          <cell r="CA59">
            <v>-602.95566502463055</v>
          </cell>
          <cell r="CB59" t="str">
            <v>0</v>
          </cell>
          <cell r="CC59">
            <v>0</v>
          </cell>
          <cell r="CD59">
            <v>0</v>
          </cell>
          <cell r="CE59" t="str">
            <v/>
          </cell>
          <cell r="CF59" t="str">
            <v>0</v>
          </cell>
          <cell r="CG59" t="str">
            <v/>
          </cell>
          <cell r="CH59">
            <v>2.6606666666666667</v>
          </cell>
        </row>
        <row r="60">
          <cell r="A60" t="str">
            <v>CTH1620-A</v>
          </cell>
          <cell r="B60"/>
          <cell r="C60">
            <v>0.67600000000000005</v>
          </cell>
          <cell r="D60">
            <v>0.67</v>
          </cell>
          <cell r="E60"/>
          <cell r="F60">
            <v>0.215</v>
          </cell>
          <cell r="G60"/>
          <cell r="H60">
            <v>0.57399999999999995</v>
          </cell>
          <cell r="I60">
            <v>0.71899999999999997</v>
          </cell>
          <cell r="J60"/>
          <cell r="K60">
            <v>0.20399999999999999</v>
          </cell>
          <cell r="L60"/>
          <cell r="M60">
            <v>0.51400000000000001</v>
          </cell>
          <cell r="N60">
            <v>0.81100000000000005</v>
          </cell>
          <cell r="O60"/>
          <cell r="P60">
            <v>0.20699999999999999</v>
          </cell>
          <cell r="Q60"/>
          <cell r="R60">
            <v>0.73499999999999999</v>
          </cell>
          <cell r="S60">
            <v>0.72499999999999998</v>
          </cell>
          <cell r="T60"/>
          <cell r="U60">
            <v>0.23400000000000001</v>
          </cell>
          <cell r="V60"/>
          <cell r="W60">
            <v>0.55800000000000005</v>
          </cell>
          <cell r="X60">
            <v>0.71199999999999997</v>
          </cell>
          <cell r="Y60"/>
          <cell r="Z60">
            <v>0.33300000000000002</v>
          </cell>
          <cell r="AA60"/>
          <cell r="AB60">
            <v>0.56799999999999995</v>
          </cell>
          <cell r="AC60">
            <v>0.70799999999999996</v>
          </cell>
          <cell r="AD60"/>
          <cell r="AE60">
            <v>0.36</v>
          </cell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 t="str">
            <v>0</v>
          </cell>
          <cell r="BK60">
            <v>0</v>
          </cell>
          <cell r="BL60">
            <v>0</v>
          </cell>
          <cell r="BM60" t="str">
            <v/>
          </cell>
          <cell r="BN60" t="str">
            <v>0</v>
          </cell>
          <cell r="BO60" t="str">
            <v/>
          </cell>
          <cell r="BP60">
            <v>0.60416666666666674</v>
          </cell>
          <cell r="BQ60">
            <v>0.88700000000000001</v>
          </cell>
          <cell r="BR60">
            <v>0.28283333333333327</v>
          </cell>
          <cell r="BS60">
            <v>794.48275862068954</v>
          </cell>
          <cell r="BT60">
            <v>541.14994363021424</v>
          </cell>
          <cell r="BU60">
            <v>253.3328149904753</v>
          </cell>
          <cell r="BV60">
            <v>0.72416666666666674</v>
          </cell>
          <cell r="BW60">
            <v>0.72299999999999998</v>
          </cell>
          <cell r="BX60">
            <v>-1.1666666666667602E-3</v>
          </cell>
          <cell r="BY60">
            <v>662.83084004602983</v>
          </cell>
          <cell r="BZ60">
            <v>663.90041493775936</v>
          </cell>
          <cell r="CA60">
            <v>-1.0695748917295305</v>
          </cell>
          <cell r="CB60" t="str">
            <v>0</v>
          </cell>
          <cell r="CC60">
            <v>0</v>
          </cell>
          <cell r="CD60">
            <v>0</v>
          </cell>
          <cell r="CE60" t="str">
            <v/>
          </cell>
          <cell r="CF60" t="str">
            <v>0</v>
          </cell>
          <cell r="CG60" t="str">
            <v/>
          </cell>
          <cell r="CH60">
            <v>0.2588333333333333</v>
          </cell>
        </row>
        <row r="61">
          <cell r="A61" t="str">
            <v>CTH1621-A</v>
          </cell>
          <cell r="B61"/>
          <cell r="C61">
            <v>0.58299999999999996</v>
          </cell>
          <cell r="D61">
            <v>0.58099999999999996</v>
          </cell>
          <cell r="E61"/>
          <cell r="F61">
            <v>0.26400000000000001</v>
          </cell>
          <cell r="G61"/>
          <cell r="H61"/>
          <cell r="I61"/>
          <cell r="J61"/>
          <cell r="K61"/>
          <cell r="L61"/>
          <cell r="M61">
            <v>0.58899999999999997</v>
          </cell>
          <cell r="N61">
            <v>0.51800000000000002</v>
          </cell>
          <cell r="O61"/>
          <cell r="P61">
            <v>0.26900000000000002</v>
          </cell>
          <cell r="Q61"/>
          <cell r="R61">
            <v>0.51800000000000002</v>
          </cell>
          <cell r="S61">
            <v>0.58599999999999997</v>
          </cell>
          <cell r="T61"/>
          <cell r="U61">
            <v>0.29899999999999999</v>
          </cell>
          <cell r="V61"/>
          <cell r="W61"/>
          <cell r="X61"/>
          <cell r="Y61"/>
          <cell r="Z61"/>
          <cell r="AA61"/>
          <cell r="AB61">
            <v>0.55500000000000005</v>
          </cell>
          <cell r="AC61">
            <v>0.33900000000000002</v>
          </cell>
          <cell r="AD61"/>
          <cell r="AE61">
            <v>0.28000000000000003</v>
          </cell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 t="str">
            <v>0</v>
          </cell>
          <cell r="BK61">
            <v>0</v>
          </cell>
          <cell r="BL61">
            <v>0</v>
          </cell>
          <cell r="BM61" t="str">
            <v/>
          </cell>
          <cell r="BN61" t="str">
            <v>0</v>
          </cell>
          <cell r="BO61" t="str">
            <v/>
          </cell>
          <cell r="BP61">
            <v>0.56125000000000003</v>
          </cell>
          <cell r="BQ61">
            <v>1.151</v>
          </cell>
          <cell r="BR61">
            <v>0.58975</v>
          </cell>
          <cell r="BS61">
            <v>855.23385300668144</v>
          </cell>
          <cell r="BT61">
            <v>417.02867072111206</v>
          </cell>
          <cell r="BU61">
            <v>438.20518228556938</v>
          </cell>
          <cell r="BV61">
            <v>0.50600000000000001</v>
          </cell>
          <cell r="BW61">
            <v>0.45400000000000001</v>
          </cell>
          <cell r="BX61">
            <v>-5.1999999999999991E-2</v>
          </cell>
          <cell r="BY61">
            <v>948.61660079051387</v>
          </cell>
          <cell r="BZ61">
            <v>1057.2687224669603</v>
          </cell>
          <cell r="CA61">
            <v>-108.65212167644643</v>
          </cell>
          <cell r="CB61" t="str">
            <v>0</v>
          </cell>
          <cell r="CC61">
            <v>0</v>
          </cell>
          <cell r="CD61">
            <v>0</v>
          </cell>
          <cell r="CE61" t="str">
            <v/>
          </cell>
          <cell r="CF61" t="str">
            <v>0</v>
          </cell>
          <cell r="CG61" t="str">
            <v/>
          </cell>
          <cell r="CH61">
            <v>0.27800000000000002</v>
          </cell>
        </row>
        <row r="62">
          <cell r="A62" t="str">
            <v>CTH1636-A</v>
          </cell>
          <cell r="B62"/>
          <cell r="C62">
            <v>0.54100000000000004</v>
          </cell>
          <cell r="D62">
            <v>1.0509999999999999</v>
          </cell>
          <cell r="E62"/>
          <cell r="F62">
            <v>0.41099999999999998</v>
          </cell>
          <cell r="G62"/>
          <cell r="H62">
            <v>0.89300000000000002</v>
          </cell>
          <cell r="I62">
            <v>0.81299999999999994</v>
          </cell>
          <cell r="J62"/>
          <cell r="K62">
            <v>0.63800000000000001</v>
          </cell>
          <cell r="L62"/>
          <cell r="M62">
            <v>0.54</v>
          </cell>
          <cell r="N62">
            <v>0.85299999999999998</v>
          </cell>
          <cell r="O62"/>
          <cell r="P62">
            <v>0.497</v>
          </cell>
          <cell r="Q62"/>
          <cell r="R62">
            <v>0.498</v>
          </cell>
          <cell r="S62">
            <v>0.78100000000000003</v>
          </cell>
          <cell r="T62"/>
          <cell r="U62">
            <v>0.47299999999999998</v>
          </cell>
          <cell r="V62"/>
          <cell r="W62">
            <v>0.52600000000000002</v>
          </cell>
          <cell r="X62">
            <v>0.78</v>
          </cell>
          <cell r="Y62"/>
          <cell r="Z62">
            <v>0.57299999999999995</v>
          </cell>
          <cell r="AA62"/>
          <cell r="AB62">
            <v>0.56699999999999995</v>
          </cell>
          <cell r="AC62">
            <v>0.79500000000000004</v>
          </cell>
          <cell r="AD62"/>
          <cell r="AE62">
            <v>0.48</v>
          </cell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 t="str">
            <v>0</v>
          </cell>
          <cell r="BK62">
            <v>0</v>
          </cell>
          <cell r="BL62">
            <v>0</v>
          </cell>
          <cell r="BM62" t="str">
            <v/>
          </cell>
          <cell r="BN62" t="str">
            <v>0</v>
          </cell>
          <cell r="BO62" t="str">
            <v/>
          </cell>
          <cell r="BP62">
            <v>0.59416666666666673</v>
          </cell>
          <cell r="BQ62">
            <v>0.56999999999999995</v>
          </cell>
          <cell r="BR62">
            <v>-2.4166666666666781E-2</v>
          </cell>
          <cell r="BS62">
            <v>807.85413744740526</v>
          </cell>
          <cell r="BT62">
            <v>842.1052631578948</v>
          </cell>
          <cell r="BU62">
            <v>-34.251125710489532</v>
          </cell>
          <cell r="BV62">
            <v>0.84549999999999992</v>
          </cell>
          <cell r="BW62">
            <v>0.57499999999999996</v>
          </cell>
          <cell r="BX62">
            <v>-0.27049999999999996</v>
          </cell>
          <cell r="BY62">
            <v>567.7114133648729</v>
          </cell>
          <cell r="BZ62">
            <v>834.78260869565224</v>
          </cell>
          <cell r="CA62">
            <v>-267.07119533077935</v>
          </cell>
          <cell r="CB62" t="str">
            <v>0</v>
          </cell>
          <cell r="CC62">
            <v>0</v>
          </cell>
          <cell r="CD62">
            <v>0</v>
          </cell>
          <cell r="CE62" t="str">
            <v/>
          </cell>
          <cell r="CF62" t="str">
            <v>0</v>
          </cell>
          <cell r="CG62" t="str">
            <v/>
          </cell>
          <cell r="CH62">
            <v>0.5119999999999999</v>
          </cell>
        </row>
        <row r="63">
          <cell r="A63" t="str">
            <v>CTH1718-A</v>
          </cell>
          <cell r="B63"/>
          <cell r="C63">
            <v>1.6359999999999999</v>
          </cell>
          <cell r="D63">
            <v>2.169</v>
          </cell>
          <cell r="E63"/>
          <cell r="F63">
            <v>0.97199999999999998</v>
          </cell>
          <cell r="G63"/>
          <cell r="H63"/>
          <cell r="I63"/>
          <cell r="J63"/>
          <cell r="K63"/>
          <cell r="L63"/>
          <cell r="M63">
            <v>1.4630000000000001</v>
          </cell>
          <cell r="N63">
            <v>1.6379999999999999</v>
          </cell>
          <cell r="O63"/>
          <cell r="P63">
            <v>0.99</v>
          </cell>
          <cell r="Q63"/>
          <cell r="R63">
            <v>1.494</v>
          </cell>
          <cell r="S63">
            <v>1.341</v>
          </cell>
          <cell r="T63"/>
          <cell r="U63">
            <v>0.68700000000000006</v>
          </cell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 t="str">
            <v>0</v>
          </cell>
          <cell r="BK63">
            <v>0</v>
          </cell>
          <cell r="BL63">
            <v>0</v>
          </cell>
          <cell r="BM63" t="str">
            <v/>
          </cell>
          <cell r="BN63" t="str">
            <v>0</v>
          </cell>
          <cell r="BO63" t="str">
            <v/>
          </cell>
          <cell r="BP63">
            <v>1.5309999999999999</v>
          </cell>
          <cell r="BQ63">
            <v>1.22</v>
          </cell>
          <cell r="BR63">
            <v>-0.31099999999999994</v>
          </cell>
          <cell r="BS63">
            <v>313.52057478772048</v>
          </cell>
          <cell r="BT63">
            <v>393.44262295081967</v>
          </cell>
          <cell r="BU63">
            <v>-79.922048163099191</v>
          </cell>
          <cell r="BV63">
            <v>1.716</v>
          </cell>
          <cell r="BW63">
            <v>1.05</v>
          </cell>
          <cell r="BX63">
            <v>-0.66599999999999993</v>
          </cell>
          <cell r="BY63">
            <v>279.72027972027973</v>
          </cell>
          <cell r="BZ63">
            <v>457.14285714285711</v>
          </cell>
          <cell r="CA63">
            <v>-177.42257742257738</v>
          </cell>
          <cell r="CB63" t="str">
            <v>0</v>
          </cell>
          <cell r="CC63">
            <v>0</v>
          </cell>
          <cell r="CD63">
            <v>0</v>
          </cell>
          <cell r="CE63" t="str">
            <v/>
          </cell>
          <cell r="CF63" t="str">
            <v>0</v>
          </cell>
          <cell r="CG63" t="str">
            <v/>
          </cell>
          <cell r="CH63">
            <v>0.88300000000000001</v>
          </cell>
        </row>
        <row r="64">
          <cell r="A64" t="str">
            <v>EEI2011</v>
          </cell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>
            <v>8.0960000000000001</v>
          </cell>
          <cell r="N64">
            <v>7.8</v>
          </cell>
          <cell r="O64">
            <v>0.16900000000000001</v>
          </cell>
          <cell r="P64">
            <v>1.3979999999999999</v>
          </cell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 t="str">
            <v>0</v>
          </cell>
          <cell r="BK64">
            <v>0</v>
          </cell>
          <cell r="BL64">
            <v>0</v>
          </cell>
          <cell r="BM64" t="str">
            <v/>
          </cell>
          <cell r="BN64" t="str">
            <v>0</v>
          </cell>
          <cell r="BO64" t="str">
            <v/>
          </cell>
          <cell r="BP64">
            <v>8.0960000000000001</v>
          </cell>
          <cell r="BQ64">
            <v>8.8670000000000009</v>
          </cell>
          <cell r="BR64">
            <v>0.7710000000000008</v>
          </cell>
          <cell r="BS64">
            <v>59.288537549407117</v>
          </cell>
          <cell r="BT64">
            <v>54.133303259275962</v>
          </cell>
          <cell r="BU64">
            <v>5.1552342901311548</v>
          </cell>
          <cell r="BV64">
            <v>7.8</v>
          </cell>
          <cell r="BW64">
            <v>4.3360000000000003</v>
          </cell>
          <cell r="BX64">
            <v>-3.4639999999999995</v>
          </cell>
          <cell r="BY64">
            <v>61.53846153846154</v>
          </cell>
          <cell r="BZ64">
            <v>110.70110701107011</v>
          </cell>
          <cell r="CA64">
            <v>-49.162645472608567</v>
          </cell>
          <cell r="CB64">
            <v>0.16900000000000001</v>
          </cell>
          <cell r="CC64">
            <v>0.123</v>
          </cell>
          <cell r="CD64">
            <v>-4.6000000000000013E-2</v>
          </cell>
          <cell r="CE64">
            <v>2840.2366863905322</v>
          </cell>
          <cell r="CF64">
            <v>3902.439024390244</v>
          </cell>
          <cell r="CG64">
            <v>-1062.2023379997117</v>
          </cell>
          <cell r="CH64">
            <v>1.3979999999999999</v>
          </cell>
        </row>
        <row r="65">
          <cell r="A65" t="str">
            <v>EPTP-1A</v>
          </cell>
          <cell r="B65"/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>
            <v>2.1819999999999999</v>
          </cell>
          <cell r="N65">
            <v>3.4620000000000002</v>
          </cell>
          <cell r="O65">
            <v>0.16200000000000001</v>
          </cell>
          <cell r="P65">
            <v>0.97499999999999998</v>
          </cell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 t="str">
            <v>0</v>
          </cell>
          <cell r="BK65">
            <v>0</v>
          </cell>
          <cell r="BL65">
            <v>0</v>
          </cell>
          <cell r="BM65" t="str">
            <v/>
          </cell>
          <cell r="BN65" t="str">
            <v>0</v>
          </cell>
          <cell r="BO65" t="str">
            <v/>
          </cell>
          <cell r="BP65">
            <v>2.1819999999999999</v>
          </cell>
          <cell r="BQ65">
            <v>2.4269733513454144</v>
          </cell>
          <cell r="BR65">
            <v>0.24497335134541443</v>
          </cell>
          <cell r="BS65">
            <v>219.98166819431714</v>
          </cell>
          <cell r="BT65">
            <v>197.77720251188902</v>
          </cell>
          <cell r="BU65">
            <v>22.204465682428122</v>
          </cell>
          <cell r="BV65">
            <v>3.4620000000000002</v>
          </cell>
          <cell r="BW65">
            <v>5.0112505310187725</v>
          </cell>
          <cell r="BX65">
            <v>1.5492505310187723</v>
          </cell>
          <cell r="BY65">
            <v>138.64818024263431</v>
          </cell>
          <cell r="BZ65">
            <v>95.784474759121139</v>
          </cell>
          <cell r="CA65">
            <v>42.863705483513172</v>
          </cell>
          <cell r="CB65">
            <v>0.16200000000000001</v>
          </cell>
          <cell r="CC65">
            <v>0.22471975475420503</v>
          </cell>
          <cell r="CD65">
            <v>6.271975475420502E-2</v>
          </cell>
          <cell r="CE65">
            <v>2962.962962962963</v>
          </cell>
          <cell r="CF65">
            <v>2135.9937871284014</v>
          </cell>
          <cell r="CG65">
            <v>826.96917583456161</v>
          </cell>
          <cell r="CH65">
            <v>0.97499999999999998</v>
          </cell>
        </row>
        <row r="66">
          <cell r="A66" t="str">
            <v>FE20P005</v>
          </cell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>
            <v>2.9039999999999999</v>
          </cell>
          <cell r="T66">
            <v>0.152</v>
          </cell>
          <cell r="U66"/>
          <cell r="V66"/>
          <cell r="W66"/>
          <cell r="X66"/>
          <cell r="Y66"/>
          <cell r="Z66">
            <v>1.671</v>
          </cell>
          <cell r="AA66"/>
          <cell r="AB66">
            <v>6.548</v>
          </cell>
          <cell r="AC66">
            <v>2.8180000000000001</v>
          </cell>
          <cell r="AD66">
            <v>0.19900000000000001</v>
          </cell>
          <cell r="AE66">
            <v>0.89700000000000002</v>
          </cell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 t="str">
            <v>0</v>
          </cell>
          <cell r="BK66">
            <v>0</v>
          </cell>
          <cell r="BL66">
            <v>0</v>
          </cell>
          <cell r="BM66" t="str">
            <v/>
          </cell>
          <cell r="BN66" t="str">
            <v>0</v>
          </cell>
          <cell r="BO66" t="str">
            <v/>
          </cell>
          <cell r="BP66">
            <v>6.548</v>
          </cell>
          <cell r="BQ66">
            <v>2.5009999999999999</v>
          </cell>
          <cell r="BR66">
            <v>-4.0470000000000006</v>
          </cell>
          <cell r="BS66">
            <v>73.304825901038484</v>
          </cell>
          <cell r="BT66">
            <v>191.92323070771693</v>
          </cell>
          <cell r="BU66">
            <v>-118.61840480667844</v>
          </cell>
          <cell r="BV66">
            <v>2.8609999999999998</v>
          </cell>
          <cell r="BW66">
            <v>2.2000000000000002</v>
          </cell>
          <cell r="BX66">
            <v>-0.66099999999999959</v>
          </cell>
          <cell r="BY66">
            <v>167.77350576721429</v>
          </cell>
          <cell r="BZ66">
            <v>218.18181818181816</v>
          </cell>
          <cell r="CA66">
            <v>-50.40831241460387</v>
          </cell>
          <cell r="CB66">
            <v>0.17549999999999999</v>
          </cell>
          <cell r="CC66">
            <v>8.2000000000000003E-2</v>
          </cell>
          <cell r="CD66">
            <v>-9.3499999999999986E-2</v>
          </cell>
          <cell r="CE66">
            <v>2735.0427350427353</v>
          </cell>
          <cell r="CF66">
            <v>5853.6585365853653</v>
          </cell>
          <cell r="CG66">
            <v>-3118.6158015426299</v>
          </cell>
          <cell r="CH66">
            <v>1.284</v>
          </cell>
        </row>
        <row r="67">
          <cell r="A67" t="str">
            <v>G556A</v>
          </cell>
          <cell r="B67"/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>
            <v>3.5470000000000002</v>
          </cell>
          <cell r="AC67">
            <v>3.7759999999999998</v>
          </cell>
          <cell r="AD67"/>
          <cell r="AE67">
            <v>1.21</v>
          </cell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  <cell r="CE67"/>
          <cell r="CF67"/>
          <cell r="CG67"/>
          <cell r="CH67"/>
        </row>
        <row r="68">
          <cell r="A68" t="str">
            <v>MP31G165</v>
          </cell>
          <cell r="B68"/>
          <cell r="C68"/>
          <cell r="D68"/>
          <cell r="E68"/>
          <cell r="F68"/>
          <cell r="G68"/>
          <cell r="H68">
            <v>7.5659999999999998</v>
          </cell>
          <cell r="I68">
            <v>5.2030000000000003</v>
          </cell>
          <cell r="J68">
            <v>0.193</v>
          </cell>
          <cell r="K68">
            <v>1.83</v>
          </cell>
          <cell r="L68"/>
          <cell r="M68"/>
          <cell r="N68"/>
          <cell r="O68"/>
          <cell r="P68"/>
          <cell r="Q68"/>
          <cell r="R68">
            <v>7.4850000000000003</v>
          </cell>
          <cell r="S68"/>
          <cell r="T68"/>
          <cell r="U68"/>
          <cell r="V68"/>
          <cell r="W68"/>
          <cell r="X68">
            <v>3.0619999999999998</v>
          </cell>
          <cell r="Y68">
            <v>0.19800000000000001</v>
          </cell>
          <cell r="Z68">
            <v>1.4179999999999999</v>
          </cell>
          <cell r="AA68"/>
          <cell r="AB68">
            <v>7.157</v>
          </cell>
          <cell r="AC68">
            <v>8.0039999999999996</v>
          </cell>
          <cell r="AD68">
            <v>0.19600000000000001</v>
          </cell>
          <cell r="AE68">
            <v>1.109</v>
          </cell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 t="str">
            <v>0</v>
          </cell>
          <cell r="BK68">
            <v>0</v>
          </cell>
          <cell r="BL68">
            <v>0</v>
          </cell>
          <cell r="BM68" t="str">
            <v/>
          </cell>
          <cell r="BN68" t="str">
            <v>0</v>
          </cell>
          <cell r="BO68" t="str">
            <v/>
          </cell>
          <cell r="BP68">
            <v>7.4026666666666658</v>
          </cell>
          <cell r="BQ68">
            <v>6</v>
          </cell>
          <cell r="BR68">
            <v>-1.4026666666666658</v>
          </cell>
          <cell r="BS68">
            <v>64.84149855907782</v>
          </cell>
          <cell r="BT68">
            <v>80</v>
          </cell>
          <cell r="BU68">
            <v>-15.15850144092218</v>
          </cell>
          <cell r="BV68">
            <v>5.4229999999999992</v>
          </cell>
          <cell r="BW68">
            <v>5.4399999999999995</v>
          </cell>
          <cell r="BX68">
            <v>1.7000000000000348E-2</v>
          </cell>
          <cell r="BY68">
            <v>88.511893785727466</v>
          </cell>
          <cell r="BZ68">
            <v>88.235294117647072</v>
          </cell>
          <cell r="CA68">
            <v>0.27659966808039371</v>
          </cell>
          <cell r="CB68">
            <v>0.19566666666666666</v>
          </cell>
          <cell r="CC68">
            <v>0.1</v>
          </cell>
          <cell r="CD68">
            <v>-9.566666666666665E-2</v>
          </cell>
          <cell r="CE68">
            <v>2453.1516183986373</v>
          </cell>
          <cell r="CF68">
            <v>4800</v>
          </cell>
          <cell r="CG68">
            <v>-2346.8483816013627</v>
          </cell>
          <cell r="CH68">
            <v>1.4523333333333335</v>
          </cell>
        </row>
        <row r="69">
          <cell r="A69" t="str">
            <v>MS-0122</v>
          </cell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>
            <v>1.792</v>
          </cell>
          <cell r="X69">
            <v>4.0529999999999999</v>
          </cell>
          <cell r="Y69">
            <v>0.17299999999999999</v>
          </cell>
          <cell r="Z69">
            <v>1.1459999999999999</v>
          </cell>
          <cell r="AA69"/>
          <cell r="AB69">
            <v>1.958</v>
          </cell>
          <cell r="AC69">
            <v>3.4390000000000001</v>
          </cell>
          <cell r="AD69">
            <v>0.22</v>
          </cell>
          <cell r="AE69">
            <v>1.0549999999999999</v>
          </cell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 t="str">
            <v>0</v>
          </cell>
          <cell r="BK69">
            <v>0</v>
          </cell>
          <cell r="BL69">
            <v>0</v>
          </cell>
          <cell r="BM69" t="str">
            <v/>
          </cell>
          <cell r="BN69" t="str">
            <v>0</v>
          </cell>
          <cell r="BO69" t="str">
            <v/>
          </cell>
          <cell r="BP69">
            <v>1.875</v>
          </cell>
          <cell r="BQ69">
            <v>1.3460000000000001</v>
          </cell>
          <cell r="BR69">
            <v>-0.52899999999999991</v>
          </cell>
          <cell r="BS69">
            <v>256</v>
          </cell>
          <cell r="BT69">
            <v>356.61218424962851</v>
          </cell>
          <cell r="BU69">
            <v>-100.61218424962851</v>
          </cell>
          <cell r="BV69">
            <v>3.746</v>
          </cell>
          <cell r="BW69">
            <v>3.3650000000000002</v>
          </cell>
          <cell r="BX69">
            <v>-0.38099999999999978</v>
          </cell>
          <cell r="BY69">
            <v>128.13667912439936</v>
          </cell>
          <cell r="BZ69">
            <v>142.64487369985142</v>
          </cell>
          <cell r="CA69">
            <v>-14.508194575452052</v>
          </cell>
          <cell r="CB69">
            <v>0.19650000000000001</v>
          </cell>
          <cell r="CC69">
            <v>0.125</v>
          </cell>
          <cell r="CD69">
            <v>-7.1500000000000008E-2</v>
          </cell>
          <cell r="CE69">
            <v>2442.7480916030531</v>
          </cell>
          <cell r="CF69">
            <v>3840</v>
          </cell>
          <cell r="CG69">
            <v>-1397.2519083969469</v>
          </cell>
          <cell r="CH69">
            <v>1.1004999999999998</v>
          </cell>
        </row>
        <row r="70">
          <cell r="A70" t="str">
            <v>MT25-PC</v>
          </cell>
          <cell r="B70"/>
          <cell r="C70"/>
          <cell r="D70"/>
          <cell r="E70"/>
          <cell r="F70"/>
          <cell r="G70"/>
          <cell r="H70">
            <v>3.59</v>
          </cell>
          <cell r="I70"/>
          <cell r="J70"/>
          <cell r="K70">
            <v>2.4550000000000001</v>
          </cell>
          <cell r="L70"/>
          <cell r="M70">
            <v>3.964</v>
          </cell>
          <cell r="N70">
            <v>3.492</v>
          </cell>
          <cell r="O70">
            <v>0.17299999999999999</v>
          </cell>
          <cell r="P70">
            <v>2.1240000000000001</v>
          </cell>
          <cell r="Q70"/>
          <cell r="R70"/>
          <cell r="S70"/>
          <cell r="T70"/>
          <cell r="U70">
            <v>1.839</v>
          </cell>
          <cell r="V70"/>
          <cell r="W70"/>
          <cell r="X70">
            <v>4.5510000000000002</v>
          </cell>
          <cell r="Y70">
            <v>0.185</v>
          </cell>
          <cell r="Z70">
            <v>1.3680000000000001</v>
          </cell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 t="str">
            <v>0</v>
          </cell>
          <cell r="BK70">
            <v>0</v>
          </cell>
          <cell r="BL70">
            <v>0</v>
          </cell>
          <cell r="BM70" t="str">
            <v/>
          </cell>
          <cell r="BN70" t="str">
            <v>0</v>
          </cell>
          <cell r="BO70" t="str">
            <v/>
          </cell>
          <cell r="BP70">
            <v>3.7770000000000001</v>
          </cell>
          <cell r="BQ70">
            <v>2.7589999999999999</v>
          </cell>
          <cell r="BR70">
            <v>-1.0180000000000002</v>
          </cell>
          <cell r="BS70">
            <v>127.08498808578236</v>
          </cell>
          <cell r="BT70">
            <v>173.97607828923523</v>
          </cell>
          <cell r="BU70">
            <v>-46.891090203452876</v>
          </cell>
          <cell r="BV70">
            <v>4.0214999999999996</v>
          </cell>
          <cell r="BW70">
            <v>3.133</v>
          </cell>
          <cell r="BX70">
            <v>-0.88849999999999962</v>
          </cell>
          <cell r="BY70">
            <v>119.35844834017159</v>
          </cell>
          <cell r="BZ70">
            <v>153.20778806255984</v>
          </cell>
          <cell r="CA70">
            <v>-33.849339722388251</v>
          </cell>
          <cell r="CB70">
            <v>0.17899999999999999</v>
          </cell>
          <cell r="CC70">
            <v>0.1</v>
          </cell>
          <cell r="CD70">
            <v>-7.8999999999999987E-2</v>
          </cell>
          <cell r="CE70">
            <v>2681.564245810056</v>
          </cell>
          <cell r="CF70">
            <v>4800</v>
          </cell>
          <cell r="CG70">
            <v>-2118.435754189944</v>
          </cell>
          <cell r="CH70">
            <v>1.9465000000000003</v>
          </cell>
        </row>
        <row r="71">
          <cell r="A71" t="str">
            <v>PFC-PQ3535A</v>
          </cell>
          <cell r="B71"/>
          <cell r="C71">
            <v>2.1059999999999999</v>
          </cell>
          <cell r="D71">
            <v>3.698</v>
          </cell>
          <cell r="E71">
            <v>0.17699999999999999</v>
          </cell>
          <cell r="F71">
            <v>1.8480000000000001</v>
          </cell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>
            <v>1.333</v>
          </cell>
          <cell r="T71">
            <v>0.159</v>
          </cell>
          <cell r="U71">
            <v>2.4169999999999998</v>
          </cell>
          <cell r="V71"/>
          <cell r="W71">
            <v>2.141</v>
          </cell>
          <cell r="X71">
            <v>4.899</v>
          </cell>
          <cell r="Y71">
            <v>0.151</v>
          </cell>
          <cell r="Z71">
            <v>2.109</v>
          </cell>
          <cell r="AA71"/>
          <cell r="AB71">
            <v>1.552</v>
          </cell>
          <cell r="AC71">
            <v>4.1109999999999998</v>
          </cell>
          <cell r="AD71">
            <v>0.19</v>
          </cell>
          <cell r="AE71">
            <v>1.514</v>
          </cell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 t="str">
            <v>0</v>
          </cell>
          <cell r="BK71">
            <v>0</v>
          </cell>
          <cell r="BL71">
            <v>0</v>
          </cell>
          <cell r="BM71" t="str">
            <v/>
          </cell>
          <cell r="BN71" t="str">
            <v>0</v>
          </cell>
          <cell r="BO71" t="str">
            <v/>
          </cell>
          <cell r="BP71">
            <v>1.9329999999999998</v>
          </cell>
          <cell r="BQ71">
            <v>1.08</v>
          </cell>
          <cell r="BR71">
            <v>-0.85299999999999976</v>
          </cell>
          <cell r="BS71">
            <v>248.31867563372998</v>
          </cell>
          <cell r="BT71">
            <v>444.4444444444444</v>
          </cell>
          <cell r="BU71">
            <v>-196.12576881071442</v>
          </cell>
          <cell r="BV71">
            <v>3.5102500000000001</v>
          </cell>
          <cell r="BW71">
            <v>1.1000000000000001</v>
          </cell>
          <cell r="BX71">
            <v>-2.41025</v>
          </cell>
          <cell r="BY71">
            <v>136.74239726515205</v>
          </cell>
          <cell r="BZ71">
            <v>436.36363636363632</v>
          </cell>
          <cell r="CA71">
            <v>-299.62123909848424</v>
          </cell>
          <cell r="CB71">
            <v>0.16925000000000001</v>
          </cell>
          <cell r="CC71">
            <v>0</v>
          </cell>
          <cell r="CD71">
            <v>-0.16925000000000001</v>
          </cell>
          <cell r="CE71">
            <v>2836.0413589364844</v>
          </cell>
          <cell r="CF71" t="str">
            <v>0</v>
          </cell>
          <cell r="CG71">
            <v>2836.0413589364844</v>
          </cell>
          <cell r="CH71">
            <v>1.972</v>
          </cell>
        </row>
        <row r="72">
          <cell r="A72" t="str">
            <v>PFC-PQ4040B</v>
          </cell>
          <cell r="B72"/>
          <cell r="C72">
            <v>2.4870000000000001</v>
          </cell>
          <cell r="D72"/>
          <cell r="E72"/>
          <cell r="F72"/>
          <cell r="G72"/>
          <cell r="H72"/>
          <cell r="I72"/>
          <cell r="J72">
            <v>0.35</v>
          </cell>
          <cell r="K72">
            <v>1.901</v>
          </cell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>
            <v>1.7609999999999999</v>
          </cell>
          <cell r="AC72">
            <v>6.234</v>
          </cell>
          <cell r="AD72">
            <v>0.192</v>
          </cell>
          <cell r="AE72">
            <v>2.0790000000000002</v>
          </cell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 t="str">
            <v>0</v>
          </cell>
          <cell r="BK72">
            <v>0</v>
          </cell>
          <cell r="BL72">
            <v>0</v>
          </cell>
          <cell r="BM72" t="str">
            <v/>
          </cell>
          <cell r="BN72" t="str">
            <v>0</v>
          </cell>
          <cell r="BO72" t="str">
            <v/>
          </cell>
          <cell r="BP72">
            <v>2.1240000000000001</v>
          </cell>
          <cell r="BQ72">
            <v>1.04</v>
          </cell>
          <cell r="BR72">
            <v>-1.0840000000000001</v>
          </cell>
          <cell r="BS72">
            <v>225.98870056497174</v>
          </cell>
          <cell r="BT72">
            <v>461.53846153846155</v>
          </cell>
          <cell r="BU72">
            <v>-235.54976097348981</v>
          </cell>
          <cell r="BV72">
            <v>6.234</v>
          </cell>
          <cell r="BW72">
            <v>1.1000000000000001</v>
          </cell>
          <cell r="BX72">
            <v>-5.1340000000000003</v>
          </cell>
          <cell r="BY72">
            <v>76.997112608277192</v>
          </cell>
          <cell r="BZ72">
            <v>436.36363636363632</v>
          </cell>
          <cell r="CA72">
            <v>-359.36652375535914</v>
          </cell>
          <cell r="CB72">
            <v>0.27100000000000002</v>
          </cell>
          <cell r="CC72">
            <v>0</v>
          </cell>
          <cell r="CD72">
            <v>-0.27100000000000002</v>
          </cell>
          <cell r="CE72">
            <v>1771.2177121771217</v>
          </cell>
          <cell r="CF72" t="str">
            <v>0</v>
          </cell>
          <cell r="CG72">
            <v>1771.2177121771217</v>
          </cell>
          <cell r="CH72">
            <v>1.9900000000000002</v>
          </cell>
        </row>
        <row r="73">
          <cell r="A73" t="str">
            <v>PL10-24-130B</v>
          </cell>
          <cell r="B73"/>
          <cell r="C73">
            <v>3.1680000000000001</v>
          </cell>
          <cell r="D73">
            <v>13.423999999999999</v>
          </cell>
          <cell r="E73"/>
          <cell r="F73">
            <v>1.9339999999999999</v>
          </cell>
          <cell r="G73"/>
          <cell r="H73">
            <v>2.9020000000000001</v>
          </cell>
          <cell r="I73">
            <v>2.9209999999999998</v>
          </cell>
          <cell r="J73">
            <v>0.245</v>
          </cell>
          <cell r="K73">
            <v>1.8460000000000001</v>
          </cell>
          <cell r="L73"/>
          <cell r="M73">
            <v>3.3130000000000002</v>
          </cell>
          <cell r="N73">
            <v>5.8029999999999999</v>
          </cell>
          <cell r="O73">
            <v>0.17299999999999999</v>
          </cell>
          <cell r="P73">
            <v>3.0979999999999999</v>
          </cell>
          <cell r="Q73"/>
          <cell r="R73">
            <v>4.5</v>
          </cell>
          <cell r="S73">
            <v>2.895</v>
          </cell>
          <cell r="T73"/>
          <cell r="U73">
            <v>3.3679999999999999</v>
          </cell>
          <cell r="V73"/>
          <cell r="W73">
            <v>3.7</v>
          </cell>
          <cell r="X73">
            <v>1.927</v>
          </cell>
          <cell r="Y73"/>
          <cell r="Z73">
            <v>2.5339999999999998</v>
          </cell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 t="str">
            <v>0</v>
          </cell>
          <cell r="BK73">
            <v>0</v>
          </cell>
          <cell r="BL73">
            <v>0</v>
          </cell>
          <cell r="BM73" t="str">
            <v/>
          </cell>
          <cell r="BN73" t="str">
            <v>0</v>
          </cell>
          <cell r="BO73" t="str">
            <v/>
          </cell>
          <cell r="BP73">
            <v>3.5166000000000004</v>
          </cell>
          <cell r="BQ73">
            <v>4.3499999999999996</v>
          </cell>
          <cell r="BR73">
            <v>0.83339999999999925</v>
          </cell>
          <cell r="BS73">
            <v>136.49547858727178</v>
          </cell>
          <cell r="BT73">
            <v>110.3448275862069</v>
          </cell>
          <cell r="BU73">
            <v>26.150651001064873</v>
          </cell>
          <cell r="BV73">
            <v>5.3940000000000001</v>
          </cell>
          <cell r="BW73">
            <v>5.2089999999999996</v>
          </cell>
          <cell r="BX73">
            <v>-0.1850000000000005</v>
          </cell>
          <cell r="BY73">
            <v>88.987764182424911</v>
          </cell>
          <cell r="BZ73">
            <v>92.148205029756198</v>
          </cell>
          <cell r="CA73">
            <v>-3.1604408473312873</v>
          </cell>
          <cell r="CB73">
            <v>0.20899999999999999</v>
          </cell>
          <cell r="CC73">
            <v>0.105</v>
          </cell>
          <cell r="CD73">
            <v>-0.104</v>
          </cell>
          <cell r="CE73">
            <v>2296.6507177033495</v>
          </cell>
          <cell r="CF73">
            <v>4571.4285714285716</v>
          </cell>
          <cell r="CG73">
            <v>-2274.777853725222</v>
          </cell>
          <cell r="CH73">
            <v>2.556</v>
          </cell>
        </row>
        <row r="74">
          <cell r="A74" t="str">
            <v>PL2.5-16-130B</v>
          </cell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>
            <v>6</v>
          </cell>
          <cell r="N74"/>
          <cell r="O74"/>
          <cell r="P74">
            <v>0.83299999999999996</v>
          </cell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 t="str">
            <v>0</v>
          </cell>
          <cell r="BK74">
            <v>0</v>
          </cell>
          <cell r="BL74">
            <v>0</v>
          </cell>
          <cell r="BM74" t="str">
            <v/>
          </cell>
          <cell r="BN74" t="str">
            <v>0</v>
          </cell>
          <cell r="BO74" t="str">
            <v/>
          </cell>
          <cell r="BP74">
            <v>6</v>
          </cell>
          <cell r="BQ74">
            <v>4.1500000000000004</v>
          </cell>
          <cell r="BR74">
            <v>-1.8499999999999996</v>
          </cell>
          <cell r="BS74">
            <v>80</v>
          </cell>
          <cell r="BT74">
            <v>115.66265060240963</v>
          </cell>
          <cell r="BU74">
            <v>-35.662650602409627</v>
          </cell>
          <cell r="BV74" t="str">
            <v>0</v>
          </cell>
          <cell r="BW74">
            <v>4.68</v>
          </cell>
          <cell r="BX74">
            <v>4.68</v>
          </cell>
          <cell r="BY74" t="str">
            <v/>
          </cell>
          <cell r="BZ74">
            <v>102.56410256410257</v>
          </cell>
          <cell r="CA74" t="str">
            <v/>
          </cell>
          <cell r="CB74" t="str">
            <v>0</v>
          </cell>
          <cell r="CC74">
            <v>0.1</v>
          </cell>
          <cell r="CD74">
            <v>0.1</v>
          </cell>
          <cell r="CE74" t="str">
            <v/>
          </cell>
          <cell r="CF74">
            <v>4800</v>
          </cell>
          <cell r="CG74" t="str">
            <v/>
          </cell>
          <cell r="CH74">
            <v>0.83299999999999996</v>
          </cell>
        </row>
        <row r="75">
          <cell r="A75" t="str">
            <v>PL2.5-20-130B</v>
          </cell>
          <cell r="B75"/>
          <cell r="C75">
            <v>3.2709999999999999</v>
          </cell>
          <cell r="D75">
            <v>3.3559999999999999</v>
          </cell>
          <cell r="E75">
            <v>0.16300000000000001</v>
          </cell>
          <cell r="F75">
            <v>1.7989999999999999</v>
          </cell>
          <cell r="G75"/>
          <cell r="H75">
            <v>3.6110000000000002</v>
          </cell>
          <cell r="I75">
            <v>3.1269999999999998</v>
          </cell>
          <cell r="J75">
            <v>0.17599999999999999</v>
          </cell>
          <cell r="K75">
            <v>1.3979999999999999</v>
          </cell>
          <cell r="L75"/>
          <cell r="M75">
            <v>5.25</v>
          </cell>
          <cell r="N75">
            <v>4.7729999999999997</v>
          </cell>
          <cell r="O75">
            <v>0.25900000000000001</v>
          </cell>
          <cell r="P75">
            <v>2.194</v>
          </cell>
          <cell r="Q75"/>
          <cell r="R75">
            <v>3.7</v>
          </cell>
          <cell r="S75">
            <v>3.5110000000000001</v>
          </cell>
          <cell r="T75">
            <v>0.16400000000000001</v>
          </cell>
          <cell r="U75">
            <v>1.474</v>
          </cell>
          <cell r="V75"/>
          <cell r="W75">
            <v>3.948</v>
          </cell>
          <cell r="X75">
            <v>3.2810000000000001</v>
          </cell>
          <cell r="Y75">
            <v>0.16300000000000001</v>
          </cell>
          <cell r="Z75">
            <v>1.8979999999999999</v>
          </cell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 t="str">
            <v>0</v>
          </cell>
          <cell r="BK75">
            <v>0</v>
          </cell>
          <cell r="BL75">
            <v>0</v>
          </cell>
          <cell r="BM75" t="str">
            <v/>
          </cell>
          <cell r="BN75" t="str">
            <v>0</v>
          </cell>
          <cell r="BO75" t="str">
            <v/>
          </cell>
          <cell r="BP75">
            <v>3.9560000000000004</v>
          </cell>
          <cell r="BQ75">
            <v>5.6020000000000003</v>
          </cell>
          <cell r="BR75">
            <v>1.6459999999999999</v>
          </cell>
          <cell r="BS75">
            <v>121.33468149646106</v>
          </cell>
          <cell r="BT75">
            <v>85.683684398429122</v>
          </cell>
          <cell r="BU75">
            <v>35.650997098031937</v>
          </cell>
          <cell r="BV75">
            <v>3.6095999999999995</v>
          </cell>
          <cell r="BW75">
            <v>6.3170000000000002</v>
          </cell>
          <cell r="BX75">
            <v>2.7074000000000007</v>
          </cell>
          <cell r="BY75">
            <v>132.97872340425533</v>
          </cell>
          <cell r="BZ75">
            <v>75.985436124742762</v>
          </cell>
          <cell r="CA75">
            <v>56.993287279512572</v>
          </cell>
          <cell r="CB75">
            <v>0.185</v>
          </cell>
          <cell r="CC75">
            <v>0.13500000000000001</v>
          </cell>
          <cell r="CD75">
            <v>-4.9999999999999989E-2</v>
          </cell>
          <cell r="CE75">
            <v>2594.5945945945946</v>
          </cell>
          <cell r="CF75">
            <v>3555.5555555555552</v>
          </cell>
          <cell r="CG75">
            <v>-960.96096096096062</v>
          </cell>
          <cell r="CH75">
            <v>1.7525999999999999</v>
          </cell>
        </row>
        <row r="76">
          <cell r="A76" t="str">
            <v>PL2.5-24-130B</v>
          </cell>
          <cell r="B76"/>
          <cell r="C76">
            <v>2.25</v>
          </cell>
          <cell r="D76">
            <v>6.5</v>
          </cell>
          <cell r="E76">
            <v>0.17499999999999999</v>
          </cell>
          <cell r="F76">
            <v>1.75</v>
          </cell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>
            <v>3.5950000000000002</v>
          </cell>
          <cell r="AC76">
            <v>4.0030000000000001</v>
          </cell>
          <cell r="AD76">
            <v>0.16400000000000001</v>
          </cell>
          <cell r="AE76">
            <v>1.984</v>
          </cell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 t="str">
            <v>0</v>
          </cell>
          <cell r="BK76">
            <v>0</v>
          </cell>
          <cell r="BL76">
            <v>0</v>
          </cell>
          <cell r="BM76" t="str">
            <v/>
          </cell>
          <cell r="BN76" t="str">
            <v>0</v>
          </cell>
          <cell r="BO76" t="str">
            <v/>
          </cell>
          <cell r="BP76">
            <v>2.9225000000000003</v>
          </cell>
          <cell r="BQ76">
            <v>4.1500000000000004</v>
          </cell>
          <cell r="BR76">
            <v>1.2275</v>
          </cell>
          <cell r="BS76">
            <v>164.24294268605644</v>
          </cell>
          <cell r="BT76">
            <v>115.66265060240963</v>
          </cell>
          <cell r="BU76">
            <v>48.58029208364681</v>
          </cell>
          <cell r="BV76">
            <v>5.2515000000000001</v>
          </cell>
          <cell r="BW76">
            <v>4.68</v>
          </cell>
          <cell r="BX76">
            <v>-0.57150000000000034</v>
          </cell>
          <cell r="BY76">
            <v>91.402456441016852</v>
          </cell>
          <cell r="BZ76">
            <v>102.56410256410257</v>
          </cell>
          <cell r="CA76">
            <v>-11.161646123085717</v>
          </cell>
          <cell r="CB76">
            <v>0.16949999999999998</v>
          </cell>
          <cell r="CC76">
            <v>0.1</v>
          </cell>
          <cell r="CD76">
            <v>-6.9499999999999978E-2</v>
          </cell>
          <cell r="CE76">
            <v>2831.8584070796464</v>
          </cell>
          <cell r="CF76">
            <v>4800</v>
          </cell>
          <cell r="CG76">
            <v>-1968.1415929203536</v>
          </cell>
          <cell r="CH76">
            <v>1.867</v>
          </cell>
        </row>
        <row r="77">
          <cell r="A77" t="str">
            <v>PL5.0-10-130B</v>
          </cell>
          <cell r="B77"/>
          <cell r="C77">
            <v>3.1829999999999998</v>
          </cell>
          <cell r="D77">
            <v>5.7839999999999998</v>
          </cell>
          <cell r="E77">
            <v>0.17899999999999999</v>
          </cell>
          <cell r="F77">
            <v>2.6760000000000002</v>
          </cell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 t="str">
            <v>0</v>
          </cell>
          <cell r="BK77">
            <v>0</v>
          </cell>
          <cell r="BL77">
            <v>0</v>
          </cell>
          <cell r="BM77" t="str">
            <v/>
          </cell>
          <cell r="BN77" t="str">
            <v>0</v>
          </cell>
          <cell r="BO77" t="str">
            <v/>
          </cell>
          <cell r="BP77">
            <v>3.1829999999999998</v>
          </cell>
          <cell r="BQ77">
            <v>4.16</v>
          </cell>
          <cell r="BR77">
            <v>0.97700000000000031</v>
          </cell>
          <cell r="BS77">
            <v>150.80113100848257</v>
          </cell>
          <cell r="BT77">
            <v>115.38461538461539</v>
          </cell>
          <cell r="BU77">
            <v>35.416515623867184</v>
          </cell>
          <cell r="BV77">
            <v>5.7839999999999998</v>
          </cell>
          <cell r="BW77">
            <v>4.78</v>
          </cell>
          <cell r="BX77">
            <v>-1.0039999999999996</v>
          </cell>
          <cell r="BY77">
            <v>82.987551867219921</v>
          </cell>
          <cell r="BZ77">
            <v>100.418410041841</v>
          </cell>
          <cell r="CA77">
            <v>-17.430858174621079</v>
          </cell>
          <cell r="CB77">
            <v>0.17899999999999999</v>
          </cell>
          <cell r="CC77">
            <v>0.1</v>
          </cell>
          <cell r="CD77">
            <v>-7.8999999999999987E-2</v>
          </cell>
          <cell r="CE77">
            <v>2681.564245810056</v>
          </cell>
          <cell r="CF77">
            <v>4800</v>
          </cell>
          <cell r="CG77">
            <v>-2118.435754189944</v>
          </cell>
          <cell r="CH77">
            <v>2.6760000000000002</v>
          </cell>
        </row>
        <row r="78">
          <cell r="A78" t="str">
            <v>PL5.0-12-130B</v>
          </cell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>
            <v>3.9630000000000001</v>
          </cell>
          <cell r="AC78">
            <v>4.0990000000000002</v>
          </cell>
          <cell r="AD78">
            <v>0.20599999999999999</v>
          </cell>
          <cell r="AE78">
            <v>2.8860000000000001</v>
          </cell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  <cell r="CE78"/>
          <cell r="CF78"/>
          <cell r="CG78"/>
          <cell r="CH78"/>
        </row>
        <row r="79">
          <cell r="A79" t="str">
            <v>PL5.0-24-130B</v>
          </cell>
          <cell r="B79"/>
          <cell r="C79">
            <v>3.4249999999999998</v>
          </cell>
          <cell r="D79">
            <v>6.2210000000000001</v>
          </cell>
          <cell r="E79">
            <v>0.17</v>
          </cell>
          <cell r="F79">
            <v>1.9990000000000001</v>
          </cell>
          <cell r="G79"/>
          <cell r="H79"/>
          <cell r="I79"/>
          <cell r="J79"/>
          <cell r="K79"/>
          <cell r="L79"/>
          <cell r="M79">
            <v>3.9020000000000001</v>
          </cell>
          <cell r="N79">
            <v>4.6390000000000002</v>
          </cell>
          <cell r="O79">
            <v>0.18099999999999999</v>
          </cell>
          <cell r="P79">
            <v>1.7190000000000001</v>
          </cell>
          <cell r="Q79"/>
          <cell r="R79">
            <v>7.5</v>
          </cell>
          <cell r="S79">
            <v>4.2859999999999996</v>
          </cell>
          <cell r="T79"/>
          <cell r="U79">
            <v>0.71399999999999997</v>
          </cell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 t="str">
            <v>0</v>
          </cell>
          <cell r="BK79">
            <v>0</v>
          </cell>
          <cell r="BL79">
            <v>0</v>
          </cell>
          <cell r="BM79" t="str">
            <v/>
          </cell>
          <cell r="BN79" t="str">
            <v>0</v>
          </cell>
          <cell r="BO79" t="str">
            <v/>
          </cell>
          <cell r="BP79">
            <v>4.942333333333333</v>
          </cell>
          <cell r="BQ79">
            <v>4.16</v>
          </cell>
          <cell r="BR79">
            <v>-0.78233333333333288</v>
          </cell>
          <cell r="BS79">
            <v>97.120118702367307</v>
          </cell>
          <cell r="BT79">
            <v>115.38461538461539</v>
          </cell>
          <cell r="BU79">
            <v>-18.26449668224808</v>
          </cell>
          <cell r="BV79">
            <v>5.0486666666666666</v>
          </cell>
          <cell r="BW79">
            <v>4.78</v>
          </cell>
          <cell r="BX79">
            <v>-0.26866666666666639</v>
          </cell>
          <cell r="BY79">
            <v>95.074607157005147</v>
          </cell>
          <cell r="BZ79">
            <v>100.418410041841</v>
          </cell>
          <cell r="CA79">
            <v>-5.3438028848358528</v>
          </cell>
          <cell r="CB79">
            <v>0.17549999999999999</v>
          </cell>
          <cell r="CC79">
            <v>0.1</v>
          </cell>
          <cell r="CD79">
            <v>-7.5499999999999984E-2</v>
          </cell>
          <cell r="CE79">
            <v>2735.0427350427353</v>
          </cell>
          <cell r="CF79">
            <v>4800</v>
          </cell>
          <cell r="CG79">
            <v>-2064.9572649572647</v>
          </cell>
          <cell r="CH79">
            <v>1.4773333333333334</v>
          </cell>
        </row>
        <row r="80">
          <cell r="A80" t="str">
            <v>PL5.0-28-130B</v>
          </cell>
          <cell r="B80"/>
          <cell r="C80">
            <v>3.1509999999999998</v>
          </cell>
          <cell r="D80"/>
          <cell r="E80"/>
          <cell r="F80"/>
          <cell r="G80"/>
          <cell r="H80"/>
          <cell r="I80">
            <v>4.5289999999999999</v>
          </cell>
          <cell r="J80">
            <v>0.155</v>
          </cell>
          <cell r="K80">
            <v>2.3940000000000001</v>
          </cell>
          <cell r="L80"/>
          <cell r="M80"/>
          <cell r="N80"/>
          <cell r="O80"/>
          <cell r="P80"/>
          <cell r="Q80"/>
          <cell r="R80">
            <v>5.4550000000000001</v>
          </cell>
          <cell r="S80">
            <v>1.538</v>
          </cell>
          <cell r="T80"/>
          <cell r="U80">
            <v>5.556</v>
          </cell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 t="str">
            <v>0</v>
          </cell>
          <cell r="BK80">
            <v>0</v>
          </cell>
          <cell r="BL80">
            <v>0</v>
          </cell>
          <cell r="BM80" t="str">
            <v/>
          </cell>
          <cell r="BN80" t="str">
            <v>0</v>
          </cell>
          <cell r="BO80" t="str">
            <v/>
          </cell>
          <cell r="BP80">
            <v>4.3029999999999999</v>
          </cell>
          <cell r="BQ80">
            <v>4.1500000000000004</v>
          </cell>
          <cell r="BR80">
            <v>-0.15299999999999958</v>
          </cell>
          <cell r="BS80">
            <v>111.55008133860098</v>
          </cell>
          <cell r="BT80">
            <v>115.66265060240963</v>
          </cell>
          <cell r="BU80">
            <v>-4.112569263808652</v>
          </cell>
          <cell r="BV80">
            <v>3.0335000000000001</v>
          </cell>
          <cell r="BW80">
            <v>4.9700000000000006</v>
          </cell>
          <cell r="BX80">
            <v>1.9365000000000006</v>
          </cell>
          <cell r="BY80">
            <v>158.23306411735618</v>
          </cell>
          <cell r="BZ80">
            <v>96.579476861166995</v>
          </cell>
          <cell r="CA80">
            <v>61.653587256189184</v>
          </cell>
          <cell r="CB80">
            <v>0.155</v>
          </cell>
          <cell r="CC80">
            <v>0.1</v>
          </cell>
          <cell r="CD80">
            <v>-5.4999999999999993E-2</v>
          </cell>
          <cell r="CE80">
            <v>3096.7741935483873</v>
          </cell>
          <cell r="CF80">
            <v>4800</v>
          </cell>
          <cell r="CG80">
            <v>-1703.2258064516127</v>
          </cell>
          <cell r="CH80">
            <v>3.9750000000000001</v>
          </cell>
        </row>
        <row r="81">
          <cell r="A81" t="str">
            <v>PL5.0-36-130B</v>
          </cell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>
            <v>8.4619999999999997</v>
          </cell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  <cell r="CE81"/>
          <cell r="CF81"/>
          <cell r="CG81"/>
          <cell r="CH81"/>
        </row>
        <row r="82">
          <cell r="A82" t="str">
            <v>PN935325P006</v>
          </cell>
          <cell r="B82"/>
          <cell r="C82">
            <v>7.391</v>
          </cell>
          <cell r="D82">
            <v>3.7</v>
          </cell>
          <cell r="E82">
            <v>0.17</v>
          </cell>
          <cell r="F82">
            <v>1.37</v>
          </cell>
          <cell r="G82"/>
          <cell r="H82">
            <v>7.4720000000000004</v>
          </cell>
          <cell r="I82">
            <v>3.4359999999999999</v>
          </cell>
          <cell r="J82">
            <v>0.17499999999999999</v>
          </cell>
          <cell r="K82">
            <v>1.3819999999999999</v>
          </cell>
          <cell r="L82"/>
          <cell r="M82">
            <v>9.1890000000000001</v>
          </cell>
          <cell r="N82"/>
          <cell r="O82"/>
          <cell r="P82"/>
          <cell r="Q82"/>
          <cell r="R82">
            <v>10.348000000000001</v>
          </cell>
          <cell r="S82">
            <v>4.0149999999999997</v>
          </cell>
          <cell r="T82">
            <v>0.19800000000000001</v>
          </cell>
          <cell r="U82">
            <v>1.4670000000000001</v>
          </cell>
          <cell r="V82"/>
          <cell r="W82">
            <v>11.273999999999999</v>
          </cell>
          <cell r="X82">
            <v>2.952</v>
          </cell>
          <cell r="Y82">
            <v>0.16800000000000001</v>
          </cell>
          <cell r="Z82">
            <v>1.159</v>
          </cell>
          <cell r="AA82"/>
          <cell r="AB82">
            <v>8.6950000000000003</v>
          </cell>
          <cell r="AC82">
            <v>4.1360000000000001</v>
          </cell>
          <cell r="AD82">
            <v>0.186</v>
          </cell>
          <cell r="AE82">
            <v>1.0509999999999999</v>
          </cell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 t="str">
            <v>0</v>
          </cell>
          <cell r="BK82">
            <v>0</v>
          </cell>
          <cell r="BL82">
            <v>0</v>
          </cell>
          <cell r="BM82" t="str">
            <v/>
          </cell>
          <cell r="BN82" t="str">
            <v>0</v>
          </cell>
          <cell r="BO82" t="str">
            <v/>
          </cell>
          <cell r="BP82">
            <v>9.0615000000000006</v>
          </cell>
          <cell r="BQ82">
            <v>6.0829999999999993</v>
          </cell>
          <cell r="BR82">
            <v>-2.9785000000000013</v>
          </cell>
          <cell r="BS82">
            <v>52.971362357225622</v>
          </cell>
          <cell r="BT82">
            <v>78.908433338813097</v>
          </cell>
          <cell r="BU82">
            <v>-25.937070981587475</v>
          </cell>
          <cell r="BV82">
            <v>3.6478000000000002</v>
          </cell>
          <cell r="BW82">
            <v>1.82</v>
          </cell>
          <cell r="BX82">
            <v>-1.8278000000000001</v>
          </cell>
          <cell r="BY82">
            <v>131.58616152201327</v>
          </cell>
          <cell r="BZ82">
            <v>263.73626373626371</v>
          </cell>
          <cell r="CA82">
            <v>-132.15010221425044</v>
          </cell>
          <cell r="CB82">
            <v>0.1794</v>
          </cell>
          <cell r="CC82">
            <v>0.1</v>
          </cell>
          <cell r="CD82">
            <v>-7.9399999999999998E-2</v>
          </cell>
          <cell r="CE82">
            <v>2675.5852842809363</v>
          </cell>
          <cell r="CF82">
            <v>4800</v>
          </cell>
          <cell r="CG82">
            <v>-2124.4147157190637</v>
          </cell>
          <cell r="CH82">
            <v>1.2857999999999998</v>
          </cell>
        </row>
        <row r="83">
          <cell r="A83" t="str">
            <v>PT-233</v>
          </cell>
          <cell r="B83"/>
          <cell r="C83">
            <v>4.49</v>
          </cell>
          <cell r="D83">
            <v>2.129</v>
          </cell>
          <cell r="E83">
            <v>0.16700000000000001</v>
          </cell>
          <cell r="F83">
            <v>1.2290000000000001</v>
          </cell>
          <cell r="G83"/>
          <cell r="H83">
            <v>4.6070000000000002</v>
          </cell>
          <cell r="I83">
            <v>1.95</v>
          </cell>
          <cell r="J83">
            <v>0.19600000000000001</v>
          </cell>
          <cell r="K83">
            <v>1.2929999999999999</v>
          </cell>
          <cell r="L83"/>
          <cell r="M83"/>
          <cell r="N83"/>
          <cell r="O83"/>
          <cell r="P83">
            <v>1.593</v>
          </cell>
          <cell r="Q83"/>
          <cell r="R83">
            <v>5.4669999999999996</v>
          </cell>
          <cell r="S83">
            <v>1.786</v>
          </cell>
          <cell r="T83">
            <v>0.17100000000000001</v>
          </cell>
          <cell r="U83">
            <v>1.3160000000000001</v>
          </cell>
          <cell r="V83"/>
          <cell r="W83">
            <v>3.9620000000000002</v>
          </cell>
          <cell r="X83">
            <v>1.8049999999999999</v>
          </cell>
          <cell r="Y83">
            <v>0.17499999999999999</v>
          </cell>
          <cell r="Z83">
            <v>1.236</v>
          </cell>
          <cell r="AA83"/>
          <cell r="AB83">
            <v>4.9720000000000004</v>
          </cell>
          <cell r="AC83">
            <v>2.4750000000000001</v>
          </cell>
          <cell r="AD83">
            <v>0.19900000000000001</v>
          </cell>
          <cell r="AE83">
            <v>0.95499999999999996</v>
          </cell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 t="str">
            <v>0</v>
          </cell>
          <cell r="BK83">
            <v>0</v>
          </cell>
          <cell r="BL83">
            <v>0</v>
          </cell>
          <cell r="BM83" t="str">
            <v/>
          </cell>
          <cell r="BN83" t="str">
            <v>0</v>
          </cell>
          <cell r="BO83" t="str">
            <v/>
          </cell>
          <cell r="BP83">
            <v>4.6996000000000002</v>
          </cell>
          <cell r="BQ83">
            <v>2.0369999999999999</v>
          </cell>
          <cell r="BR83">
            <v>-2.6626000000000003</v>
          </cell>
          <cell r="BS83">
            <v>102.13635202995999</v>
          </cell>
          <cell r="BT83">
            <v>235.64064801178205</v>
          </cell>
          <cell r="BU83">
            <v>-133.50429598182205</v>
          </cell>
          <cell r="BV83">
            <v>2.0289999999999999</v>
          </cell>
          <cell r="BW83">
            <v>2.137</v>
          </cell>
          <cell r="BX83">
            <v>0.1080000000000001</v>
          </cell>
          <cell r="BY83">
            <v>236.56973878758009</v>
          </cell>
          <cell r="BZ83">
            <v>224.61394478240524</v>
          </cell>
          <cell r="CA83">
            <v>11.955794005174852</v>
          </cell>
          <cell r="CB83">
            <v>0.18160000000000004</v>
          </cell>
          <cell r="CC83">
            <v>7.1999999999999995E-2</v>
          </cell>
          <cell r="CD83">
            <v>-0.10960000000000004</v>
          </cell>
          <cell r="CE83">
            <v>2643.1718061674005</v>
          </cell>
          <cell r="CF83">
            <v>6666.666666666667</v>
          </cell>
          <cell r="CG83">
            <v>-4023.4948604992665</v>
          </cell>
          <cell r="CH83">
            <v>1.2703333333333333</v>
          </cell>
        </row>
        <row r="84">
          <cell r="A84" t="str">
            <v>PT-235</v>
          </cell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>
            <v>8.0860000000000003</v>
          </cell>
          <cell r="N84">
            <v>3.8889999999999998</v>
          </cell>
          <cell r="O84">
            <v>0.16</v>
          </cell>
          <cell r="P84">
            <v>1.7470000000000001</v>
          </cell>
          <cell r="Q84"/>
          <cell r="R84">
            <v>8.6270000000000007</v>
          </cell>
          <cell r="S84">
            <v>3.5110000000000001</v>
          </cell>
          <cell r="T84">
            <v>0.17599999999999999</v>
          </cell>
          <cell r="U84">
            <v>1.6180000000000001</v>
          </cell>
          <cell r="V84"/>
          <cell r="W84">
            <v>6.4729999999999999</v>
          </cell>
          <cell r="X84">
            <v>2.915</v>
          </cell>
          <cell r="Y84">
            <v>0.17799999999999999</v>
          </cell>
          <cell r="Z84">
            <v>1.2390000000000001</v>
          </cell>
          <cell r="AA84"/>
          <cell r="AB84">
            <v>6.0090000000000003</v>
          </cell>
          <cell r="AC84">
            <v>3.105</v>
          </cell>
          <cell r="AD84">
            <v>0.187</v>
          </cell>
          <cell r="AE84">
            <v>1.0529999999999999</v>
          </cell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 t="str">
            <v>0</v>
          </cell>
          <cell r="BK84">
            <v>0</v>
          </cell>
          <cell r="BL84">
            <v>0</v>
          </cell>
          <cell r="BM84" t="str">
            <v/>
          </cell>
          <cell r="BN84" t="str">
            <v>0</v>
          </cell>
          <cell r="BO84" t="str">
            <v/>
          </cell>
          <cell r="BP84">
            <v>7.2987500000000001</v>
          </cell>
          <cell r="BQ84">
            <v>0</v>
          </cell>
          <cell r="BR84">
            <v>-7.2987500000000001</v>
          </cell>
          <cell r="BS84">
            <v>65.764685733858542</v>
          </cell>
          <cell r="BT84" t="str">
            <v>0</v>
          </cell>
          <cell r="BU84">
            <v>65.764685733858542</v>
          </cell>
          <cell r="BV84">
            <v>3.3550000000000004</v>
          </cell>
          <cell r="BW84">
            <v>0</v>
          </cell>
          <cell r="BX84">
            <v>-3.3550000000000004</v>
          </cell>
          <cell r="BY84">
            <v>143.07004470938895</v>
          </cell>
          <cell r="BZ84" t="str">
            <v>0</v>
          </cell>
          <cell r="CA84">
            <v>143.07004470938895</v>
          </cell>
          <cell r="CB84">
            <v>0.17525000000000002</v>
          </cell>
          <cell r="CC84">
            <v>0</v>
          </cell>
          <cell r="CD84">
            <v>-0.17525000000000002</v>
          </cell>
          <cell r="CE84">
            <v>2738.9443651925817</v>
          </cell>
          <cell r="CF84" t="str">
            <v>0</v>
          </cell>
          <cell r="CG84">
            <v>2738.9443651925817</v>
          </cell>
          <cell r="CH84">
            <v>1.41425</v>
          </cell>
        </row>
        <row r="85">
          <cell r="A85" t="str">
            <v>PT-249</v>
          </cell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>
            <v>6.6669999999999998</v>
          </cell>
          <cell r="N85"/>
          <cell r="O85"/>
          <cell r="P85"/>
          <cell r="Q85"/>
          <cell r="R85">
            <v>4.4029999999999996</v>
          </cell>
          <cell r="S85">
            <v>5.8029999999999999</v>
          </cell>
          <cell r="T85">
            <v>0.17199999999999999</v>
          </cell>
          <cell r="U85">
            <v>2.4630000000000001</v>
          </cell>
          <cell r="V85"/>
          <cell r="W85"/>
          <cell r="X85"/>
          <cell r="Y85"/>
          <cell r="Z85"/>
          <cell r="AA85"/>
          <cell r="AB85">
            <v>4.7789999999999999</v>
          </cell>
          <cell r="AC85">
            <v>5.1210000000000004</v>
          </cell>
          <cell r="AD85">
            <v>0.24299999999999999</v>
          </cell>
          <cell r="AE85">
            <v>0.875</v>
          </cell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 t="str">
            <v>0</v>
          </cell>
          <cell r="BK85">
            <v>0</v>
          </cell>
          <cell r="BL85">
            <v>0</v>
          </cell>
          <cell r="BM85" t="str">
            <v/>
          </cell>
          <cell r="BN85" t="str">
            <v>0</v>
          </cell>
          <cell r="BO85" t="str">
            <v/>
          </cell>
          <cell r="BP85">
            <v>5.2830000000000004</v>
          </cell>
          <cell r="BQ85">
            <v>2.39</v>
          </cell>
          <cell r="BR85">
            <v>-2.8930000000000002</v>
          </cell>
          <cell r="BS85">
            <v>90.857467348097671</v>
          </cell>
          <cell r="BT85">
            <v>200.836820083682</v>
          </cell>
          <cell r="BU85">
            <v>-109.97935273558433</v>
          </cell>
          <cell r="BV85">
            <v>5.4619999999999997</v>
          </cell>
          <cell r="BW85">
            <v>1.97</v>
          </cell>
          <cell r="BX85">
            <v>-3.492</v>
          </cell>
          <cell r="BY85">
            <v>87.879897473452957</v>
          </cell>
          <cell r="BZ85">
            <v>243.65482233502539</v>
          </cell>
          <cell r="CA85">
            <v>-155.77492486157243</v>
          </cell>
          <cell r="CB85">
            <v>0.20749999999999999</v>
          </cell>
          <cell r="CC85">
            <v>0</v>
          </cell>
          <cell r="CD85">
            <v>-0.20749999999999999</v>
          </cell>
          <cell r="CE85">
            <v>2313.2530120481929</v>
          </cell>
          <cell r="CF85" t="str">
            <v>0</v>
          </cell>
          <cell r="CG85">
            <v>2313.2530120481929</v>
          </cell>
          <cell r="CH85">
            <v>1.669</v>
          </cell>
        </row>
        <row r="86">
          <cell r="A86" t="str">
            <v>PT-250</v>
          </cell>
          <cell r="B86"/>
          <cell r="C86"/>
          <cell r="D86"/>
          <cell r="E86"/>
          <cell r="F86"/>
          <cell r="G86"/>
          <cell r="H86">
            <v>3.7639999999999998</v>
          </cell>
          <cell r="I86">
            <v>6.9610000000000003</v>
          </cell>
          <cell r="J86">
            <v>0.20599999999999999</v>
          </cell>
          <cell r="K86"/>
          <cell r="L86"/>
          <cell r="M86"/>
          <cell r="N86"/>
          <cell r="O86"/>
          <cell r="P86">
            <v>2.0419999999999998</v>
          </cell>
          <cell r="Q86"/>
          <cell r="R86">
            <v>4.1440000000000001</v>
          </cell>
          <cell r="S86">
            <v>6.556</v>
          </cell>
          <cell r="T86">
            <v>0.151</v>
          </cell>
          <cell r="U86">
            <v>2.1219999999999999</v>
          </cell>
          <cell r="V86"/>
          <cell r="W86">
            <v>7.44</v>
          </cell>
          <cell r="X86">
            <v>4.9130000000000003</v>
          </cell>
          <cell r="Y86">
            <v>0.17</v>
          </cell>
          <cell r="Z86">
            <v>1.637</v>
          </cell>
          <cell r="AA86"/>
          <cell r="AB86">
            <v>4.1219999999999999</v>
          </cell>
          <cell r="AC86">
            <v>4.2869999999999999</v>
          </cell>
          <cell r="AD86">
            <v>0.19600000000000001</v>
          </cell>
          <cell r="AE86">
            <v>1.677</v>
          </cell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 t="str">
            <v>0</v>
          </cell>
          <cell r="BK86">
            <v>0</v>
          </cell>
          <cell r="BL86">
            <v>0</v>
          </cell>
          <cell r="BM86" t="str">
            <v/>
          </cell>
          <cell r="BN86" t="str">
            <v>0</v>
          </cell>
          <cell r="BO86" t="str">
            <v/>
          </cell>
          <cell r="BP86">
            <v>4.8674999999999997</v>
          </cell>
          <cell r="BQ86">
            <v>2.42</v>
          </cell>
          <cell r="BR86">
            <v>-2.4474999999999998</v>
          </cell>
          <cell r="BS86">
            <v>98.613251155624042</v>
          </cell>
          <cell r="BT86">
            <v>198.34710743801654</v>
          </cell>
          <cell r="BU86">
            <v>-99.733856282392495</v>
          </cell>
          <cell r="BV86">
            <v>5.6792499999999997</v>
          </cell>
          <cell r="BW86">
            <v>1.97</v>
          </cell>
          <cell r="BX86">
            <v>-3.7092499999999999</v>
          </cell>
          <cell r="BY86">
            <v>84.518202227406789</v>
          </cell>
          <cell r="BZ86">
            <v>243.65482233502539</v>
          </cell>
          <cell r="CA86">
            <v>-159.1366201076186</v>
          </cell>
          <cell r="CB86">
            <v>0.18075000000000002</v>
          </cell>
          <cell r="CC86">
            <v>0</v>
          </cell>
          <cell r="CD86">
            <v>-0.18075000000000002</v>
          </cell>
          <cell r="CE86">
            <v>2655.601659751037</v>
          </cell>
          <cell r="CF86" t="str">
            <v>0</v>
          </cell>
          <cell r="CG86">
            <v>2655.601659751037</v>
          </cell>
          <cell r="CH86">
            <v>1.8694999999999999</v>
          </cell>
        </row>
        <row r="87">
          <cell r="A87" t="str">
            <v>PT-251</v>
          </cell>
          <cell r="B87"/>
          <cell r="C87">
            <v>6.82</v>
          </cell>
          <cell r="D87">
            <v>6.27</v>
          </cell>
          <cell r="E87">
            <v>0.158</v>
          </cell>
          <cell r="F87">
            <v>2.214</v>
          </cell>
          <cell r="G87"/>
          <cell r="H87"/>
          <cell r="I87"/>
          <cell r="J87"/>
          <cell r="K87"/>
          <cell r="L87"/>
          <cell r="M87"/>
          <cell r="N87"/>
          <cell r="O87"/>
          <cell r="P87">
            <v>1.7609999999999999</v>
          </cell>
          <cell r="Q87"/>
          <cell r="R87">
            <v>5.5490000000000004</v>
          </cell>
          <cell r="S87">
            <v>4.7080000000000002</v>
          </cell>
          <cell r="T87">
            <v>0.14199999999999999</v>
          </cell>
          <cell r="U87">
            <v>2.456</v>
          </cell>
          <cell r="V87"/>
          <cell r="W87">
            <v>5.8129999999999997</v>
          </cell>
          <cell r="X87">
            <v>8.3970000000000002</v>
          </cell>
          <cell r="Y87">
            <v>0.182</v>
          </cell>
          <cell r="Z87">
            <v>3.0569999999999999</v>
          </cell>
          <cell r="AA87"/>
          <cell r="AB87">
            <v>5.8070000000000004</v>
          </cell>
          <cell r="AC87">
            <v>4.6669999999999998</v>
          </cell>
          <cell r="AD87">
            <v>0.22600000000000001</v>
          </cell>
          <cell r="AE87">
            <v>1.702</v>
          </cell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 t="str">
            <v>0</v>
          </cell>
          <cell r="BK87">
            <v>0</v>
          </cell>
          <cell r="BL87">
            <v>0</v>
          </cell>
          <cell r="BM87" t="str">
            <v/>
          </cell>
          <cell r="BN87" t="str">
            <v>0</v>
          </cell>
          <cell r="BO87" t="str">
            <v/>
          </cell>
          <cell r="BP87">
            <v>5.9972499999999993</v>
          </cell>
          <cell r="BQ87">
            <v>3.05</v>
          </cell>
          <cell r="BR87">
            <v>-2.9472499999999995</v>
          </cell>
          <cell r="BS87">
            <v>80.036683479928314</v>
          </cell>
          <cell r="BT87">
            <v>157.37704918032787</v>
          </cell>
          <cell r="BU87">
            <v>-77.340365700399559</v>
          </cell>
          <cell r="BV87">
            <v>6.0105000000000004</v>
          </cell>
          <cell r="BW87">
            <v>2.59</v>
          </cell>
          <cell r="BX87">
            <v>-3.4205000000000005</v>
          </cell>
          <cell r="BY87">
            <v>79.86024457199899</v>
          </cell>
          <cell r="BZ87">
            <v>185.32818532818533</v>
          </cell>
          <cell r="CA87">
            <v>-105.46794075618634</v>
          </cell>
          <cell r="CB87">
            <v>0.17699999999999999</v>
          </cell>
          <cell r="CC87">
            <v>0</v>
          </cell>
          <cell r="CD87">
            <v>-0.17699999999999999</v>
          </cell>
          <cell r="CE87">
            <v>2711.8644067796613</v>
          </cell>
          <cell r="CF87" t="str">
            <v>0</v>
          </cell>
          <cell r="CG87">
            <v>2711.8644067796613</v>
          </cell>
          <cell r="CH87">
            <v>2.238</v>
          </cell>
        </row>
        <row r="88">
          <cell r="A88" t="str">
            <v>PT-253</v>
          </cell>
          <cell r="B88"/>
          <cell r="C88">
            <v>7.2229999999999999</v>
          </cell>
          <cell r="D88">
            <v>7.9649999999999999</v>
          </cell>
          <cell r="E88">
            <v>0.17599999999999999</v>
          </cell>
          <cell r="F88">
            <v>2.0710000000000002</v>
          </cell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>
            <v>6.4340000000000002</v>
          </cell>
          <cell r="S88">
            <v>4.2169999999999996</v>
          </cell>
          <cell r="T88">
            <v>0.16900000000000001</v>
          </cell>
          <cell r="U88">
            <v>1.5589999999999999</v>
          </cell>
          <cell r="V88"/>
          <cell r="W88">
            <v>6.5659999999999998</v>
          </cell>
          <cell r="X88"/>
          <cell r="Y88"/>
          <cell r="Z88"/>
          <cell r="AA88"/>
          <cell r="AB88">
            <v>6.383</v>
          </cell>
          <cell r="AC88">
            <v>4.8630000000000004</v>
          </cell>
          <cell r="AD88">
            <v>0.187</v>
          </cell>
          <cell r="AE88">
            <v>1.3420000000000001</v>
          </cell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 t="str">
            <v>0</v>
          </cell>
          <cell r="BK88">
            <v>0</v>
          </cell>
          <cell r="BL88">
            <v>0</v>
          </cell>
          <cell r="BM88" t="str">
            <v/>
          </cell>
          <cell r="BN88" t="str">
            <v>0</v>
          </cell>
          <cell r="BO88" t="str">
            <v/>
          </cell>
          <cell r="BP88">
            <v>6.6514999999999995</v>
          </cell>
          <cell r="BQ88">
            <v>3.97</v>
          </cell>
          <cell r="BR88">
            <v>-2.6814999999999993</v>
          </cell>
          <cell r="BS88">
            <v>72.164173494700449</v>
          </cell>
          <cell r="BT88">
            <v>120.90680100755667</v>
          </cell>
          <cell r="BU88">
            <v>-48.742627512856217</v>
          </cell>
          <cell r="BV88">
            <v>5.6816666666666658</v>
          </cell>
          <cell r="BW88">
            <v>2.98</v>
          </cell>
          <cell r="BX88">
            <v>-2.7016666666666658</v>
          </cell>
          <cell r="BY88">
            <v>84.482252860076287</v>
          </cell>
          <cell r="BZ88">
            <v>161.07382550335569</v>
          </cell>
          <cell r="CA88">
            <v>-76.591572643279406</v>
          </cell>
          <cell r="CB88">
            <v>0.17733333333333334</v>
          </cell>
          <cell r="CC88">
            <v>0</v>
          </cell>
          <cell r="CD88">
            <v>-0.17733333333333334</v>
          </cell>
          <cell r="CE88">
            <v>2706.7669172932328</v>
          </cell>
          <cell r="CF88" t="str">
            <v>0</v>
          </cell>
          <cell r="CG88">
            <v>2706.7669172932328</v>
          </cell>
          <cell r="CH88">
            <v>1.6573333333333331</v>
          </cell>
        </row>
        <row r="89">
          <cell r="A89" t="str">
            <v>R39740EZ(996977R)</v>
          </cell>
          <cell r="B89"/>
          <cell r="C89">
            <v>1.1879999999999999</v>
          </cell>
          <cell r="D89">
            <v>3.8610000000000002</v>
          </cell>
          <cell r="E89"/>
          <cell r="F89">
            <v>2.7</v>
          </cell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 t="str">
            <v>0</v>
          </cell>
          <cell r="BK89">
            <v>0</v>
          </cell>
          <cell r="BL89">
            <v>0</v>
          </cell>
          <cell r="BM89" t="str">
            <v/>
          </cell>
          <cell r="BN89" t="str">
            <v>0</v>
          </cell>
          <cell r="BO89" t="str">
            <v/>
          </cell>
          <cell r="BP89">
            <v>1.1879999999999999</v>
          </cell>
          <cell r="BQ89">
            <v>2.86</v>
          </cell>
          <cell r="BR89">
            <v>1.6719999999999999</v>
          </cell>
          <cell r="BS89">
            <v>404.04040404040404</v>
          </cell>
          <cell r="BT89">
            <v>167.83216783216784</v>
          </cell>
          <cell r="BU89">
            <v>236.2082362082362</v>
          </cell>
          <cell r="BV89">
            <v>3.8610000000000002</v>
          </cell>
          <cell r="BW89">
            <v>5.9109999999999996</v>
          </cell>
          <cell r="BX89">
            <v>2.0499999999999994</v>
          </cell>
          <cell r="BY89">
            <v>124.32012432012431</v>
          </cell>
          <cell r="BZ89">
            <v>81.20453391981053</v>
          </cell>
          <cell r="CA89">
            <v>43.115590400313778</v>
          </cell>
          <cell r="CB89" t="str">
            <v>0</v>
          </cell>
          <cell r="CC89">
            <v>0</v>
          </cell>
          <cell r="CD89">
            <v>0</v>
          </cell>
          <cell r="CE89" t="str">
            <v/>
          </cell>
          <cell r="CF89" t="str">
            <v>0</v>
          </cell>
          <cell r="CG89" t="str">
            <v/>
          </cell>
          <cell r="CH89">
            <v>2.7</v>
          </cell>
        </row>
        <row r="90">
          <cell r="A90" t="str">
            <v>R39741EZ(996977F)</v>
          </cell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>
            <v>2.97</v>
          </cell>
          <cell r="AC90">
            <v>11.765000000000001</v>
          </cell>
          <cell r="AD90">
            <v>0.13700000000000001</v>
          </cell>
          <cell r="AE90">
            <v>0.65</v>
          </cell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  <cell r="CE90"/>
          <cell r="CF90"/>
          <cell r="CG90"/>
          <cell r="CH90"/>
        </row>
        <row r="91">
          <cell r="A91" t="str">
            <v>R39742EZ(996977P)</v>
          </cell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>
            <v>0.89100000000000001</v>
          </cell>
          <cell r="S91">
            <v>4.01</v>
          </cell>
          <cell r="T91"/>
          <cell r="U91">
            <v>1.05</v>
          </cell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 t="str">
            <v>0</v>
          </cell>
          <cell r="BK91">
            <v>0</v>
          </cell>
          <cell r="BL91">
            <v>0</v>
          </cell>
          <cell r="BM91" t="str">
            <v/>
          </cell>
          <cell r="BN91" t="str">
            <v>0</v>
          </cell>
          <cell r="BO91" t="str">
            <v/>
          </cell>
          <cell r="BP91">
            <v>0.89100000000000001</v>
          </cell>
          <cell r="BQ91">
            <v>3.1349999999999998</v>
          </cell>
          <cell r="BR91">
            <v>2.2439999999999998</v>
          </cell>
          <cell r="BS91">
            <v>538.72053872053868</v>
          </cell>
          <cell r="BT91">
            <v>153.11004784688996</v>
          </cell>
          <cell r="BU91">
            <v>385.6104908736487</v>
          </cell>
          <cell r="BV91">
            <v>4.01</v>
          </cell>
          <cell r="BW91">
            <v>4.3550000000000004</v>
          </cell>
          <cell r="BX91">
            <v>0.34500000000000064</v>
          </cell>
          <cell r="BY91">
            <v>119.70074812967582</v>
          </cell>
          <cell r="BZ91">
            <v>110.21814006888633</v>
          </cell>
          <cell r="CA91">
            <v>9.482608060789488</v>
          </cell>
          <cell r="CB91" t="str">
            <v>0</v>
          </cell>
          <cell r="CC91">
            <v>0</v>
          </cell>
          <cell r="CD91">
            <v>0</v>
          </cell>
          <cell r="CE91" t="str">
            <v/>
          </cell>
          <cell r="CF91" t="str">
            <v>0</v>
          </cell>
          <cell r="CG91" t="str">
            <v/>
          </cell>
          <cell r="CH91">
            <v>1.05</v>
          </cell>
        </row>
        <row r="92">
          <cell r="A92" t="str">
            <v>R39743EZ(996977D)</v>
          </cell>
          <cell r="B92"/>
          <cell r="C92">
            <v>1.2350000000000001</v>
          </cell>
          <cell r="D92">
            <v>5.7</v>
          </cell>
          <cell r="E92">
            <v>0.17100000000000001</v>
          </cell>
          <cell r="F92">
            <v>2.7919999999999998</v>
          </cell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>
            <v>2.2330000000000001</v>
          </cell>
          <cell r="V92"/>
          <cell r="W92">
            <v>1.7450000000000001</v>
          </cell>
          <cell r="X92"/>
          <cell r="Y92"/>
          <cell r="Z92"/>
          <cell r="AA92"/>
          <cell r="AB92">
            <v>1.4039999999999999</v>
          </cell>
          <cell r="AC92">
            <v>5.89</v>
          </cell>
          <cell r="AD92">
            <v>0.188</v>
          </cell>
          <cell r="AE92">
            <v>0.68100000000000005</v>
          </cell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 t="str">
            <v>0</v>
          </cell>
          <cell r="BK92">
            <v>0</v>
          </cell>
          <cell r="BL92">
            <v>0</v>
          </cell>
          <cell r="BM92" t="str">
            <v/>
          </cell>
          <cell r="BN92" t="str">
            <v>0</v>
          </cell>
          <cell r="BO92" t="str">
            <v/>
          </cell>
          <cell r="BP92">
            <v>1.4613333333333334</v>
          </cell>
          <cell r="BQ92">
            <v>2.5979999999999999</v>
          </cell>
          <cell r="BR92">
            <v>1.1366666666666665</v>
          </cell>
          <cell r="BS92">
            <v>328.4671532846715</v>
          </cell>
          <cell r="BT92">
            <v>184.75750577367205</v>
          </cell>
          <cell r="BU92">
            <v>143.70964751099945</v>
          </cell>
          <cell r="BV92">
            <v>5.7949999999999999</v>
          </cell>
          <cell r="BW92">
            <v>2.984</v>
          </cell>
          <cell r="BX92">
            <v>-2.8109999999999999</v>
          </cell>
          <cell r="BY92">
            <v>82.83002588438309</v>
          </cell>
          <cell r="BZ92">
            <v>160.857908847185</v>
          </cell>
          <cell r="CA92">
            <v>-78.027882962801911</v>
          </cell>
          <cell r="CB92">
            <v>0.17949999999999999</v>
          </cell>
          <cell r="CC92">
            <v>0</v>
          </cell>
          <cell r="CD92">
            <v>-0.17949999999999999</v>
          </cell>
          <cell r="CE92">
            <v>2674.0947075208915</v>
          </cell>
          <cell r="CF92" t="str">
            <v>0</v>
          </cell>
          <cell r="CG92">
            <v>2674.0947075208915</v>
          </cell>
          <cell r="CH92">
            <v>1.9020000000000001</v>
          </cell>
        </row>
        <row r="93">
          <cell r="A93" t="str">
            <v>R39744EZ(996977B)</v>
          </cell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>
            <v>1.4710000000000001</v>
          </cell>
          <cell r="S93">
            <v>9.7059999999999995</v>
          </cell>
          <cell r="T93"/>
          <cell r="U93">
            <v>1.75</v>
          </cell>
          <cell r="V93"/>
          <cell r="W93"/>
          <cell r="X93"/>
          <cell r="Y93"/>
          <cell r="Z93"/>
          <cell r="AA93"/>
          <cell r="AB93">
            <v>1.337</v>
          </cell>
          <cell r="AC93">
            <v>8.1679999999999993</v>
          </cell>
          <cell r="AD93">
            <v>0.23300000000000001</v>
          </cell>
          <cell r="AE93">
            <v>0.7</v>
          </cell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 t="str">
            <v>0</v>
          </cell>
          <cell r="BK93">
            <v>0</v>
          </cell>
          <cell r="BL93">
            <v>0</v>
          </cell>
          <cell r="BM93" t="str">
            <v/>
          </cell>
          <cell r="BN93" t="str">
            <v>0</v>
          </cell>
          <cell r="BO93" t="str">
            <v/>
          </cell>
          <cell r="BP93">
            <v>1.4039999999999999</v>
          </cell>
          <cell r="BQ93">
            <v>2.4500000000000002</v>
          </cell>
          <cell r="BR93">
            <v>1.0460000000000003</v>
          </cell>
          <cell r="BS93">
            <v>341.88034188034192</v>
          </cell>
          <cell r="BT93">
            <v>195.91836734693877</v>
          </cell>
          <cell r="BU93">
            <v>145.96197453340315</v>
          </cell>
          <cell r="BV93">
            <v>8.9369999999999994</v>
          </cell>
          <cell r="BW93">
            <v>3</v>
          </cell>
          <cell r="BX93">
            <v>-5.9369999999999994</v>
          </cell>
          <cell r="BY93">
            <v>53.709298422289365</v>
          </cell>
          <cell r="BZ93">
            <v>160</v>
          </cell>
          <cell r="CA93">
            <v>-106.29070157771064</v>
          </cell>
          <cell r="CB93">
            <v>0.23300000000000001</v>
          </cell>
          <cell r="CC93">
            <v>0</v>
          </cell>
          <cell r="CD93">
            <v>-0.23300000000000001</v>
          </cell>
          <cell r="CE93">
            <v>2060.085836909871</v>
          </cell>
          <cell r="CF93" t="str">
            <v>0</v>
          </cell>
          <cell r="CG93">
            <v>2060.085836909871</v>
          </cell>
          <cell r="CH93">
            <v>1.2250000000000001</v>
          </cell>
        </row>
        <row r="94">
          <cell r="A94" t="str">
            <v>R39746EZ(994990T)</v>
          </cell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>
            <v>1.4850000000000001</v>
          </cell>
          <cell r="S94">
            <v>2.4260000000000002</v>
          </cell>
          <cell r="T94"/>
          <cell r="U94">
            <v>1.75</v>
          </cell>
          <cell r="V94"/>
          <cell r="W94"/>
          <cell r="X94"/>
          <cell r="Y94"/>
          <cell r="Z94">
            <v>2.1</v>
          </cell>
          <cell r="AA94"/>
          <cell r="AB94"/>
          <cell r="AC94">
            <v>14.4</v>
          </cell>
          <cell r="AD94">
            <v>0.19</v>
          </cell>
          <cell r="AE94">
            <v>1.05</v>
          </cell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 t="str">
            <v>0</v>
          </cell>
          <cell r="BK94">
            <v>0</v>
          </cell>
          <cell r="BL94">
            <v>0</v>
          </cell>
          <cell r="BM94" t="str">
            <v/>
          </cell>
          <cell r="BN94" t="str">
            <v>0</v>
          </cell>
          <cell r="BO94" t="str">
            <v/>
          </cell>
          <cell r="BP94">
            <v>1.4850000000000001</v>
          </cell>
          <cell r="BQ94">
            <v>2.08</v>
          </cell>
          <cell r="BR94">
            <v>0.59499999999999997</v>
          </cell>
          <cell r="BS94">
            <v>323.23232323232321</v>
          </cell>
          <cell r="BT94">
            <v>230.76923076923077</v>
          </cell>
          <cell r="BU94">
            <v>92.463092463092437</v>
          </cell>
          <cell r="BV94">
            <v>8.4130000000000003</v>
          </cell>
          <cell r="BW94">
            <v>3</v>
          </cell>
          <cell r="BX94">
            <v>-5.4130000000000003</v>
          </cell>
          <cell r="BY94">
            <v>57.054558421490547</v>
          </cell>
          <cell r="BZ94">
            <v>160</v>
          </cell>
          <cell r="CA94">
            <v>-102.94544157850945</v>
          </cell>
          <cell r="CB94">
            <v>0.19</v>
          </cell>
          <cell r="CC94">
            <v>0</v>
          </cell>
          <cell r="CD94">
            <v>-0.19</v>
          </cell>
          <cell r="CE94">
            <v>2526.3157894736842</v>
          </cell>
          <cell r="CF94" t="str">
            <v>0</v>
          </cell>
          <cell r="CG94">
            <v>2526.3157894736842</v>
          </cell>
          <cell r="CH94">
            <v>1.6333333333333335</v>
          </cell>
        </row>
        <row r="95">
          <cell r="A95" t="str">
            <v>R39748EZ(994990P)</v>
          </cell>
          <cell r="B95"/>
          <cell r="C95">
            <v>1.337</v>
          </cell>
          <cell r="D95">
            <v>5.7919999999999998</v>
          </cell>
          <cell r="E95"/>
          <cell r="F95">
            <v>2.75</v>
          </cell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 t="str">
            <v>0</v>
          </cell>
          <cell r="BK95">
            <v>0</v>
          </cell>
          <cell r="BL95">
            <v>0</v>
          </cell>
          <cell r="BM95" t="str">
            <v/>
          </cell>
          <cell r="BN95" t="str">
            <v>0</v>
          </cell>
          <cell r="BO95" t="str">
            <v/>
          </cell>
          <cell r="BP95">
            <v>1.337</v>
          </cell>
          <cell r="BQ95">
            <v>1.93</v>
          </cell>
          <cell r="BR95">
            <v>0.59299999999999997</v>
          </cell>
          <cell r="BS95">
            <v>359.01271503365746</v>
          </cell>
          <cell r="BT95">
            <v>248.70466321243524</v>
          </cell>
          <cell r="BU95">
            <v>110.30805182122222</v>
          </cell>
          <cell r="BV95">
            <v>5.7919999999999998</v>
          </cell>
          <cell r="BW95">
            <v>3</v>
          </cell>
          <cell r="BX95">
            <v>-2.7919999999999998</v>
          </cell>
          <cell r="BY95">
            <v>82.872928176795583</v>
          </cell>
          <cell r="BZ95">
            <v>160</v>
          </cell>
          <cell r="CA95">
            <v>-77.127071823204417</v>
          </cell>
          <cell r="CB95" t="str">
            <v>0</v>
          </cell>
          <cell r="CC95">
            <v>0</v>
          </cell>
          <cell r="CD95">
            <v>0</v>
          </cell>
          <cell r="CE95" t="str">
            <v/>
          </cell>
          <cell r="CF95" t="str">
            <v>0</v>
          </cell>
          <cell r="CG95" t="str">
            <v/>
          </cell>
          <cell r="CH95">
            <v>2.75</v>
          </cell>
        </row>
        <row r="96">
          <cell r="A96" t="str">
            <v>R39750EZ(994990D)</v>
          </cell>
          <cell r="B96"/>
          <cell r="C96">
            <v>1.0529999999999999</v>
          </cell>
          <cell r="D96">
            <v>5.5110000000000001</v>
          </cell>
          <cell r="E96">
            <v>0.17799999999999999</v>
          </cell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>
            <v>1.76</v>
          </cell>
          <cell r="AA96"/>
          <cell r="AB96">
            <v>1.4350000000000001</v>
          </cell>
          <cell r="AC96">
            <v>5.3739999999999997</v>
          </cell>
          <cell r="AD96">
            <v>0.223</v>
          </cell>
          <cell r="AE96">
            <v>1.3080000000000001</v>
          </cell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 t="str">
            <v>0</v>
          </cell>
          <cell r="BK96">
            <v>0</v>
          </cell>
          <cell r="BL96">
            <v>0</v>
          </cell>
          <cell r="BM96" t="str">
            <v/>
          </cell>
          <cell r="BN96" t="str">
            <v>0</v>
          </cell>
          <cell r="BO96" t="str">
            <v/>
          </cell>
          <cell r="BP96">
            <v>1.244</v>
          </cell>
          <cell r="BQ96">
            <v>2.5670000000000002</v>
          </cell>
          <cell r="BR96">
            <v>1.3230000000000002</v>
          </cell>
          <cell r="BS96">
            <v>385.85209003215436</v>
          </cell>
          <cell r="BT96">
            <v>186.98870276587454</v>
          </cell>
          <cell r="BU96">
            <v>198.86338726627983</v>
          </cell>
          <cell r="BV96">
            <v>5.4424999999999999</v>
          </cell>
          <cell r="BW96">
            <v>3.5369999999999999</v>
          </cell>
          <cell r="BX96">
            <v>-1.9055</v>
          </cell>
          <cell r="BY96">
            <v>88.19476343592099</v>
          </cell>
          <cell r="BZ96">
            <v>135.70822731128075</v>
          </cell>
          <cell r="CA96">
            <v>-47.513463875359761</v>
          </cell>
          <cell r="CB96">
            <v>0.20050000000000001</v>
          </cell>
          <cell r="CC96">
            <v>0</v>
          </cell>
          <cell r="CD96">
            <v>-0.20050000000000001</v>
          </cell>
          <cell r="CE96">
            <v>2394.014962593516</v>
          </cell>
          <cell r="CF96" t="str">
            <v>0</v>
          </cell>
          <cell r="CG96">
            <v>2394.014962593516</v>
          </cell>
          <cell r="CH96">
            <v>1.534</v>
          </cell>
        </row>
        <row r="97">
          <cell r="A97" t="str">
            <v>R39751EZ(994990F)</v>
          </cell>
          <cell r="B97"/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>
            <v>2.673</v>
          </cell>
          <cell r="X97">
            <v>4.1580000000000004</v>
          </cell>
          <cell r="Y97">
            <v>0.16800000000000001</v>
          </cell>
          <cell r="Z97">
            <v>4.55</v>
          </cell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 t="str">
            <v>0</v>
          </cell>
          <cell r="BK97">
            <v>0</v>
          </cell>
          <cell r="BL97">
            <v>0</v>
          </cell>
          <cell r="BM97" t="str">
            <v/>
          </cell>
          <cell r="BN97" t="str">
            <v>0</v>
          </cell>
          <cell r="BO97" t="str">
            <v/>
          </cell>
          <cell r="BP97">
            <v>2.673</v>
          </cell>
          <cell r="BQ97">
            <v>3.77</v>
          </cell>
          <cell r="BR97">
            <v>1.097</v>
          </cell>
          <cell r="BS97">
            <v>179.57351290684625</v>
          </cell>
          <cell r="BT97">
            <v>127.32095490716181</v>
          </cell>
          <cell r="BU97">
            <v>52.252557999684441</v>
          </cell>
          <cell r="BV97">
            <v>4.1580000000000004</v>
          </cell>
          <cell r="BW97">
            <v>4.6180000000000003</v>
          </cell>
          <cell r="BX97">
            <v>0.45999999999999996</v>
          </cell>
          <cell r="BY97">
            <v>115.44011544011543</v>
          </cell>
          <cell r="BZ97">
            <v>103.94110004330878</v>
          </cell>
          <cell r="CA97">
            <v>11.499015396806655</v>
          </cell>
          <cell r="CB97">
            <v>0.16800000000000001</v>
          </cell>
          <cell r="CC97">
            <v>0</v>
          </cell>
          <cell r="CD97">
            <v>-0.16800000000000001</v>
          </cell>
          <cell r="CE97">
            <v>2857.1428571428569</v>
          </cell>
          <cell r="CF97" t="str">
            <v>0</v>
          </cell>
          <cell r="CG97">
            <v>2857.1428571428569</v>
          </cell>
          <cell r="CH97">
            <v>4.55</v>
          </cell>
        </row>
        <row r="98">
          <cell r="A98" t="str">
            <v>R39770E</v>
          </cell>
          <cell r="B98"/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>
            <v>4.2389999999999999</v>
          </cell>
          <cell r="AC98">
            <v>4.6619999999999999</v>
          </cell>
          <cell r="AD98">
            <v>0.219</v>
          </cell>
          <cell r="AE98">
            <v>1.5509999999999999</v>
          </cell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 t="str">
            <v>0</v>
          </cell>
          <cell r="BK98">
            <v>0</v>
          </cell>
          <cell r="BL98">
            <v>0</v>
          </cell>
          <cell r="BM98" t="str">
            <v/>
          </cell>
          <cell r="BN98" t="str">
            <v>0</v>
          </cell>
          <cell r="BO98" t="str">
            <v/>
          </cell>
          <cell r="BP98">
            <v>4.2389999999999999</v>
          </cell>
          <cell r="BQ98">
            <v>2.0499999999999998</v>
          </cell>
          <cell r="BR98">
            <v>-2.1890000000000001</v>
          </cell>
          <cell r="BS98">
            <v>113.2342533616419</v>
          </cell>
          <cell r="BT98">
            <v>234.14634146341464</v>
          </cell>
          <cell r="BU98">
            <v>-120.91208810177274</v>
          </cell>
          <cell r="BV98">
            <v>4.6619999999999999</v>
          </cell>
          <cell r="BW98">
            <v>2.9000000000000004</v>
          </cell>
          <cell r="BX98">
            <v>-1.7619999999999996</v>
          </cell>
          <cell r="BY98">
            <v>102.96010296010296</v>
          </cell>
          <cell r="BZ98">
            <v>165.51724137931032</v>
          </cell>
          <cell r="CA98">
            <v>-62.557138419207362</v>
          </cell>
          <cell r="CB98">
            <v>0.219</v>
          </cell>
          <cell r="CC98">
            <v>0.1</v>
          </cell>
          <cell r="CD98">
            <v>-0.11899999999999999</v>
          </cell>
          <cell r="CE98">
            <v>2191.7808219178082</v>
          </cell>
          <cell r="CF98">
            <v>4800</v>
          </cell>
          <cell r="CG98">
            <v>-2608.2191780821918</v>
          </cell>
          <cell r="CH98">
            <v>1.5509999999999999</v>
          </cell>
        </row>
        <row r="99">
          <cell r="A99" t="str">
            <v>R39796E</v>
          </cell>
          <cell r="B99"/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>
            <v>0.73599999999999999</v>
          </cell>
          <cell r="AC99">
            <v>4.452</v>
          </cell>
          <cell r="AD99">
            <v>0.19700000000000001</v>
          </cell>
          <cell r="AE99">
            <v>1.085</v>
          </cell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 t="str">
            <v>0</v>
          </cell>
          <cell r="BK99">
            <v>0</v>
          </cell>
          <cell r="BL99">
            <v>0</v>
          </cell>
          <cell r="BM99" t="str">
            <v/>
          </cell>
          <cell r="BN99" t="str">
            <v>0</v>
          </cell>
          <cell r="BO99" t="str">
            <v/>
          </cell>
          <cell r="BP99">
            <v>0.73599999999999999</v>
          </cell>
          <cell r="BQ99">
            <v>1.238</v>
          </cell>
          <cell r="BR99">
            <v>0.502</v>
          </cell>
          <cell r="BS99">
            <v>652.17391304347825</v>
          </cell>
          <cell r="BT99">
            <v>387.72213247172857</v>
          </cell>
          <cell r="BU99">
            <v>264.45178057174968</v>
          </cell>
          <cell r="BV99">
            <v>4.452</v>
          </cell>
          <cell r="BW99">
            <v>2.8879999999999999</v>
          </cell>
          <cell r="BX99">
            <v>-1.5640000000000001</v>
          </cell>
          <cell r="BY99">
            <v>107.81671159029649</v>
          </cell>
          <cell r="BZ99">
            <v>166.2049861495845</v>
          </cell>
          <cell r="CA99">
            <v>-58.388274559288007</v>
          </cell>
          <cell r="CB99">
            <v>0.19700000000000001</v>
          </cell>
          <cell r="CC99">
            <v>0.10299999999999999</v>
          </cell>
          <cell r="CD99">
            <v>-9.4000000000000014E-2</v>
          </cell>
          <cell r="CE99">
            <v>2436.5482233502539</v>
          </cell>
          <cell r="CF99">
            <v>4660.1941747572819</v>
          </cell>
          <cell r="CG99">
            <v>-2223.645951407028</v>
          </cell>
          <cell r="CH99">
            <v>1.085</v>
          </cell>
        </row>
        <row r="100">
          <cell r="A100" t="str">
            <v>R40241E</v>
          </cell>
          <cell r="B100"/>
          <cell r="C100"/>
          <cell r="D100"/>
          <cell r="E100"/>
          <cell r="F100"/>
          <cell r="G100"/>
          <cell r="H100"/>
          <cell r="I100">
            <v>13.2</v>
          </cell>
          <cell r="J100">
            <v>0.151</v>
          </cell>
          <cell r="K100">
            <v>4.8</v>
          </cell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 t="str">
            <v>0</v>
          </cell>
          <cell r="BK100">
            <v>0</v>
          </cell>
          <cell r="BL100">
            <v>0</v>
          </cell>
          <cell r="BM100" t="str">
            <v/>
          </cell>
          <cell r="BN100" t="str">
            <v>0</v>
          </cell>
          <cell r="BO100" t="str">
            <v/>
          </cell>
          <cell r="BP100" t="str">
            <v>0</v>
          </cell>
          <cell r="BQ100">
            <v>3.8940000000000001</v>
          </cell>
          <cell r="BR100">
            <v>3.8940000000000001</v>
          </cell>
          <cell r="BS100" t="str">
            <v/>
          </cell>
          <cell r="BT100">
            <v>123.26656394453005</v>
          </cell>
          <cell r="BU100" t="str">
            <v/>
          </cell>
          <cell r="BV100">
            <v>13.2</v>
          </cell>
          <cell r="BW100">
            <v>5.8010000000000002</v>
          </cell>
          <cell r="BX100">
            <v>-7.3989999999999991</v>
          </cell>
          <cell r="BY100">
            <v>36.363636363636367</v>
          </cell>
          <cell r="BZ100">
            <v>82.744354421651437</v>
          </cell>
          <cell r="CA100">
            <v>-46.38071805801507</v>
          </cell>
          <cell r="CB100">
            <v>0.151</v>
          </cell>
          <cell r="CC100">
            <v>0.159</v>
          </cell>
          <cell r="CD100">
            <v>8.0000000000000071E-3</v>
          </cell>
          <cell r="CE100">
            <v>3178.8079470198677</v>
          </cell>
          <cell r="CF100">
            <v>3018.867924528302</v>
          </cell>
          <cell r="CG100">
            <v>159.94002249156574</v>
          </cell>
          <cell r="CH100">
            <v>4.8</v>
          </cell>
        </row>
        <row r="101">
          <cell r="A101" t="str">
            <v>R40241EZ</v>
          </cell>
          <cell r="B101"/>
          <cell r="C101">
            <v>2.0099999999999998</v>
          </cell>
          <cell r="D101">
            <v>2.7749999999999999</v>
          </cell>
          <cell r="E101">
            <v>0.16800000000000001</v>
          </cell>
          <cell r="F101">
            <v>1.262</v>
          </cell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>
            <v>1.929</v>
          </cell>
          <cell r="X101">
            <v>1.978</v>
          </cell>
          <cell r="Y101">
            <v>0.16400000000000001</v>
          </cell>
          <cell r="Z101">
            <v>3.871</v>
          </cell>
          <cell r="AA101"/>
          <cell r="AB101">
            <v>2.117</v>
          </cell>
          <cell r="AC101">
            <v>2.7690000000000001</v>
          </cell>
          <cell r="AD101">
            <v>0.19700000000000001</v>
          </cell>
          <cell r="AE101">
            <v>1.415</v>
          </cell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 t="str">
            <v>0</v>
          </cell>
          <cell r="BK101">
            <v>0</v>
          </cell>
          <cell r="BL101">
            <v>0</v>
          </cell>
          <cell r="BM101" t="str">
            <v/>
          </cell>
          <cell r="BN101" t="str">
            <v>0</v>
          </cell>
          <cell r="BO101" t="str">
            <v/>
          </cell>
          <cell r="BP101">
            <v>2.0186666666666668</v>
          </cell>
          <cell r="BQ101">
            <v>3.8940000000000001</v>
          </cell>
          <cell r="BR101">
            <v>1.8753333333333333</v>
          </cell>
          <cell r="BS101">
            <v>237.78071334214002</v>
          </cell>
          <cell r="BT101">
            <v>123.26656394453005</v>
          </cell>
          <cell r="BU101">
            <v>114.51414939760997</v>
          </cell>
          <cell r="BV101">
            <v>2.5073333333333334</v>
          </cell>
          <cell r="BW101">
            <v>5.8010000000000002</v>
          </cell>
          <cell r="BX101">
            <v>3.2936666666666667</v>
          </cell>
          <cell r="BY101">
            <v>191.43844722148364</v>
          </cell>
          <cell r="BZ101">
            <v>82.744354421651437</v>
          </cell>
          <cell r="CA101">
            <v>108.69409279983221</v>
          </cell>
          <cell r="CB101">
            <v>0.17633333333333334</v>
          </cell>
          <cell r="CC101">
            <v>0.159</v>
          </cell>
          <cell r="CD101">
            <v>-1.7333333333333339E-2</v>
          </cell>
          <cell r="CE101">
            <v>2722.1172022684309</v>
          </cell>
          <cell r="CF101">
            <v>3018.867924528302</v>
          </cell>
          <cell r="CG101">
            <v>-296.75072225987105</v>
          </cell>
          <cell r="CH101">
            <v>2.1826666666666665</v>
          </cell>
        </row>
        <row r="102">
          <cell r="A102" t="str">
            <v>R40521EZ</v>
          </cell>
          <cell r="B102"/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>
            <v>2.371</v>
          </cell>
          <cell r="N102">
            <v>4.9800000000000004</v>
          </cell>
          <cell r="O102">
            <v>0.151</v>
          </cell>
          <cell r="P102">
            <v>1.6</v>
          </cell>
          <cell r="Q102"/>
          <cell r="R102"/>
          <cell r="S102"/>
          <cell r="T102"/>
          <cell r="U102"/>
          <cell r="V102"/>
          <cell r="W102"/>
          <cell r="X102"/>
          <cell r="Y102">
            <v>0.17599999999999999</v>
          </cell>
          <cell r="Z102">
            <v>3.0979999999999999</v>
          </cell>
          <cell r="AA102"/>
          <cell r="AB102">
            <v>2.7029999999999998</v>
          </cell>
          <cell r="AC102">
            <v>2.4260000000000002</v>
          </cell>
          <cell r="AD102"/>
          <cell r="AE102">
            <v>1.373</v>
          </cell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 t="str">
            <v>0</v>
          </cell>
          <cell r="BK102">
            <v>0</v>
          </cell>
          <cell r="BL102">
            <v>0</v>
          </cell>
          <cell r="BM102" t="str">
            <v/>
          </cell>
          <cell r="BN102" t="str">
            <v>0</v>
          </cell>
          <cell r="BO102" t="str">
            <v/>
          </cell>
          <cell r="BP102">
            <v>2.5369999999999999</v>
          </cell>
          <cell r="BQ102">
            <v>2.5299999999999998</v>
          </cell>
          <cell r="BR102">
            <v>-7.0000000000001172E-3</v>
          </cell>
          <cell r="BS102">
            <v>189.19984233346472</v>
          </cell>
          <cell r="BT102">
            <v>189.72332015810278</v>
          </cell>
          <cell r="BU102">
            <v>-0.52347782463806425</v>
          </cell>
          <cell r="BV102">
            <v>3.7030000000000003</v>
          </cell>
          <cell r="BW102">
            <v>3.67</v>
          </cell>
          <cell r="BX102">
            <v>-3.3000000000000362E-2</v>
          </cell>
          <cell r="BY102">
            <v>129.62462867944907</v>
          </cell>
          <cell r="BZ102">
            <v>130.79019073569484</v>
          </cell>
          <cell r="CA102">
            <v>-1.1655620562457614</v>
          </cell>
          <cell r="CB102">
            <v>0.16349999999999998</v>
          </cell>
          <cell r="CC102">
            <v>0.1</v>
          </cell>
          <cell r="CD102">
            <v>-6.3499999999999973E-2</v>
          </cell>
          <cell r="CE102">
            <v>2935.7798165137619</v>
          </cell>
          <cell r="CF102">
            <v>4800</v>
          </cell>
          <cell r="CG102">
            <v>-1864.2201834862381</v>
          </cell>
          <cell r="CH102">
            <v>2.0236666666666667</v>
          </cell>
        </row>
        <row r="103">
          <cell r="A103" t="str">
            <v>R40580E</v>
          </cell>
          <cell r="B103"/>
          <cell r="C103"/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>
            <v>9.2089999999999996</v>
          </cell>
          <cell r="AC103">
            <v>11.263</v>
          </cell>
          <cell r="AD103">
            <v>0.19600000000000001</v>
          </cell>
          <cell r="AE103">
            <v>2.9790000000000001</v>
          </cell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  <cell r="CE103"/>
          <cell r="CF103"/>
          <cell r="CG103"/>
          <cell r="CH103"/>
        </row>
        <row r="104">
          <cell r="A104" t="str">
            <v>R40675E</v>
          </cell>
          <cell r="B104"/>
          <cell r="C104">
            <v>2.4809999999999999</v>
          </cell>
          <cell r="D104">
            <v>1.9770000000000001</v>
          </cell>
          <cell r="E104">
            <v>0.16400000000000001</v>
          </cell>
          <cell r="F104">
            <v>0.79300000000000004</v>
          </cell>
          <cell r="G104"/>
          <cell r="H104">
            <v>3.0670000000000002</v>
          </cell>
          <cell r="I104">
            <v>2.2909999999999999</v>
          </cell>
          <cell r="J104">
            <v>0.2</v>
          </cell>
          <cell r="K104">
            <v>0.75700000000000001</v>
          </cell>
          <cell r="L104"/>
          <cell r="M104">
            <v>2.6589999999999998</v>
          </cell>
          <cell r="N104">
            <v>1.992</v>
          </cell>
          <cell r="O104">
            <v>0.152</v>
          </cell>
          <cell r="P104">
            <v>0.68799999999999994</v>
          </cell>
          <cell r="Q104"/>
          <cell r="R104">
            <v>2.157</v>
          </cell>
          <cell r="S104">
            <v>1.9490000000000001</v>
          </cell>
          <cell r="T104">
            <v>0.17</v>
          </cell>
          <cell r="U104">
            <v>0.63500000000000001</v>
          </cell>
          <cell r="V104"/>
          <cell r="W104">
            <v>3.06</v>
          </cell>
          <cell r="X104">
            <v>2.2210000000000001</v>
          </cell>
          <cell r="Y104">
            <v>0.16600000000000001</v>
          </cell>
          <cell r="Z104">
            <v>0.66700000000000004</v>
          </cell>
          <cell r="AA104"/>
          <cell r="AB104">
            <v>2.8969999999999998</v>
          </cell>
          <cell r="AC104">
            <v>2.552</v>
          </cell>
          <cell r="AD104">
            <v>0.182</v>
          </cell>
          <cell r="AE104">
            <v>0.66100000000000003</v>
          </cell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 t="str">
            <v>0</v>
          </cell>
          <cell r="BK104">
            <v>0</v>
          </cell>
          <cell r="BL104">
            <v>0</v>
          </cell>
          <cell r="BM104" t="str">
            <v/>
          </cell>
          <cell r="BN104" t="str">
            <v>0</v>
          </cell>
          <cell r="BO104" t="str">
            <v/>
          </cell>
          <cell r="BP104">
            <v>2.7201666666666671</v>
          </cell>
          <cell r="BQ104">
            <v>4.5189999999999992</v>
          </cell>
          <cell r="BR104">
            <v>1.7988333333333322</v>
          </cell>
          <cell r="BS104">
            <v>176.45977574903495</v>
          </cell>
          <cell r="BT104">
            <v>106.21818986501439</v>
          </cell>
          <cell r="BU104">
            <v>70.241585884020552</v>
          </cell>
          <cell r="BV104">
            <v>2.1636666666666664</v>
          </cell>
          <cell r="BW104">
            <v>2.6989999999999998</v>
          </cell>
          <cell r="BX104">
            <v>0.53533333333333344</v>
          </cell>
          <cell r="BY104">
            <v>221.84563241411186</v>
          </cell>
          <cell r="BZ104">
            <v>177.84364579473879</v>
          </cell>
          <cell r="CA104">
            <v>44.001986619373071</v>
          </cell>
          <cell r="CB104">
            <v>0.17233333333333334</v>
          </cell>
          <cell r="CC104">
            <v>0.11899999999999999</v>
          </cell>
          <cell r="CD104">
            <v>-5.3333333333333344E-2</v>
          </cell>
          <cell r="CE104">
            <v>2785.2998065764023</v>
          </cell>
          <cell r="CF104">
            <v>4033.6134453781515</v>
          </cell>
          <cell r="CG104">
            <v>-1248.3136388017492</v>
          </cell>
          <cell r="CH104">
            <v>0.70016666666666671</v>
          </cell>
        </row>
        <row r="105">
          <cell r="A105" t="str">
            <v>R40782E</v>
          </cell>
          <cell r="B105"/>
          <cell r="C105">
            <v>2.42</v>
          </cell>
          <cell r="D105">
            <v>1.589</v>
          </cell>
          <cell r="E105">
            <v>0.17199999999999999</v>
          </cell>
          <cell r="F105">
            <v>0.94</v>
          </cell>
          <cell r="G105"/>
          <cell r="H105">
            <v>2.403</v>
          </cell>
          <cell r="I105">
            <v>1.8919999999999999</v>
          </cell>
          <cell r="J105">
            <v>0.31</v>
          </cell>
          <cell r="K105">
            <v>1.0129999999999999</v>
          </cell>
          <cell r="L105"/>
          <cell r="M105">
            <v>2.5470000000000002</v>
          </cell>
          <cell r="N105">
            <v>1.786</v>
          </cell>
          <cell r="O105">
            <v>0.159</v>
          </cell>
          <cell r="P105">
            <v>0.75</v>
          </cell>
          <cell r="Q105"/>
          <cell r="R105">
            <v>2.161</v>
          </cell>
          <cell r="S105">
            <v>2.11</v>
          </cell>
          <cell r="T105">
            <v>0.20200000000000001</v>
          </cell>
          <cell r="U105">
            <v>0.78600000000000003</v>
          </cell>
          <cell r="V105"/>
          <cell r="W105">
            <v>2.0569999999999999</v>
          </cell>
          <cell r="X105">
            <v>1.702</v>
          </cell>
          <cell r="Y105">
            <v>0.17699999999999999</v>
          </cell>
          <cell r="Z105">
            <v>0.69099999999999995</v>
          </cell>
          <cell r="AA105"/>
          <cell r="AB105">
            <v>2.6349999999999998</v>
          </cell>
          <cell r="AC105">
            <v>2.7759999999999998</v>
          </cell>
          <cell r="AD105">
            <v>0.19800000000000001</v>
          </cell>
          <cell r="AE105">
            <v>0.876</v>
          </cell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 t="str">
            <v>0</v>
          </cell>
          <cell r="BK105">
            <v>0</v>
          </cell>
          <cell r="BL105">
            <v>0</v>
          </cell>
          <cell r="BM105" t="str">
            <v/>
          </cell>
          <cell r="BN105" t="str">
            <v>0</v>
          </cell>
          <cell r="BO105" t="str">
            <v/>
          </cell>
          <cell r="BP105">
            <v>2.3705000000000003</v>
          </cell>
          <cell r="BQ105">
            <v>3.9630000000000001</v>
          </cell>
          <cell r="BR105">
            <v>1.5924999999999998</v>
          </cell>
          <cell r="BS105">
            <v>202.48892638683819</v>
          </cell>
          <cell r="BT105">
            <v>121.12036336109009</v>
          </cell>
          <cell r="BU105">
            <v>81.368563025748102</v>
          </cell>
          <cell r="BV105">
            <v>1.9758333333333331</v>
          </cell>
          <cell r="BW105">
            <v>2.4300000000000002</v>
          </cell>
          <cell r="BX105">
            <v>0.45416666666666705</v>
          </cell>
          <cell r="BY105">
            <v>242.93547026571071</v>
          </cell>
          <cell r="BZ105">
            <v>197.53086419753086</v>
          </cell>
          <cell r="CA105">
            <v>45.404606068179845</v>
          </cell>
          <cell r="CB105">
            <v>0.20299999999999999</v>
          </cell>
          <cell r="CC105">
            <v>0.1</v>
          </cell>
          <cell r="CD105">
            <v>-0.10299999999999998</v>
          </cell>
          <cell r="CE105">
            <v>2364.5320197044339</v>
          </cell>
          <cell r="CF105">
            <v>4800</v>
          </cell>
          <cell r="CG105">
            <v>-2435.4679802955661</v>
          </cell>
          <cell r="CH105">
            <v>0.84266666666666667</v>
          </cell>
        </row>
        <row r="106">
          <cell r="A106" t="str">
            <v>R40819E</v>
          </cell>
          <cell r="B106"/>
          <cell r="C106">
            <v>3.6989999999999998</v>
          </cell>
          <cell r="D106">
            <v>9.9149999999999991</v>
          </cell>
          <cell r="E106"/>
          <cell r="F106">
            <v>6.6449999999999996</v>
          </cell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>
            <v>2.3199999999999998</v>
          </cell>
          <cell r="S106">
            <v>2.7</v>
          </cell>
          <cell r="T106"/>
          <cell r="U106"/>
          <cell r="V106"/>
          <cell r="W106">
            <v>4.7409999999999997</v>
          </cell>
          <cell r="X106">
            <v>3.6669999999999998</v>
          </cell>
          <cell r="Y106"/>
          <cell r="Z106">
            <v>4.3</v>
          </cell>
          <cell r="AA106"/>
          <cell r="AB106">
            <v>2.9609999999999999</v>
          </cell>
          <cell r="AC106">
            <v>5.9139999999999997</v>
          </cell>
          <cell r="AD106"/>
          <cell r="AE106">
            <v>3.835</v>
          </cell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 t="str">
            <v>0</v>
          </cell>
          <cell r="BK106">
            <v>0</v>
          </cell>
          <cell r="BL106">
            <v>0</v>
          </cell>
          <cell r="BM106" t="str">
            <v/>
          </cell>
          <cell r="BN106" t="str">
            <v>0</v>
          </cell>
          <cell r="BO106" t="str">
            <v/>
          </cell>
          <cell r="BP106">
            <v>3.43025</v>
          </cell>
          <cell r="BQ106">
            <v>6.2830000000000004</v>
          </cell>
          <cell r="BR106">
            <v>2.8527500000000003</v>
          </cell>
          <cell r="BS106">
            <v>139.93149187377014</v>
          </cell>
          <cell r="BT106">
            <v>76.396625815693142</v>
          </cell>
          <cell r="BU106">
            <v>63.534866058077</v>
          </cell>
          <cell r="BV106">
            <v>5.5489999999999995</v>
          </cell>
          <cell r="BW106">
            <v>6.282</v>
          </cell>
          <cell r="BX106">
            <v>0.73300000000000054</v>
          </cell>
          <cell r="BY106">
            <v>86.50207244548568</v>
          </cell>
          <cell r="BZ106">
            <v>76.408787010506202</v>
          </cell>
          <cell r="CA106">
            <v>10.093285434979478</v>
          </cell>
          <cell r="CB106" t="str">
            <v>0</v>
          </cell>
          <cell r="CC106">
            <v>9.2999999999999999E-2</v>
          </cell>
          <cell r="CD106">
            <v>9.2999999999999999E-2</v>
          </cell>
          <cell r="CE106" t="str">
            <v/>
          </cell>
          <cell r="CF106">
            <v>5161.2903225806449</v>
          </cell>
          <cell r="CG106" t="str">
            <v/>
          </cell>
          <cell r="CH106">
            <v>4.9266666666666667</v>
          </cell>
        </row>
        <row r="107">
          <cell r="A107" t="str">
            <v>R40893E</v>
          </cell>
          <cell r="B107"/>
          <cell r="C107">
            <v>8.1709999999999994</v>
          </cell>
          <cell r="D107">
            <v>2.8050000000000002</v>
          </cell>
          <cell r="E107">
            <v>0.16300000000000001</v>
          </cell>
          <cell r="F107">
            <v>1.494</v>
          </cell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>
            <v>5.899</v>
          </cell>
          <cell r="X107">
            <v>2.0169999999999999</v>
          </cell>
          <cell r="Y107">
            <v>0.19800000000000001</v>
          </cell>
          <cell r="Z107">
            <v>1.0069999999999999</v>
          </cell>
          <cell r="AA107"/>
          <cell r="AB107">
            <v>6.1529999999999996</v>
          </cell>
          <cell r="AC107">
            <v>3.5390000000000001</v>
          </cell>
          <cell r="AD107">
            <v>0.191</v>
          </cell>
          <cell r="AE107">
            <v>0.98099999999999998</v>
          </cell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 t="str">
            <v>0</v>
          </cell>
          <cell r="BK107">
            <v>0</v>
          </cell>
          <cell r="BL107">
            <v>0</v>
          </cell>
          <cell r="BM107" t="str">
            <v/>
          </cell>
          <cell r="BN107" t="str">
            <v>0</v>
          </cell>
          <cell r="BO107" t="str">
            <v/>
          </cell>
          <cell r="BP107">
            <v>6.7409999999999997</v>
          </cell>
          <cell r="BQ107">
            <v>5.0960000000000001</v>
          </cell>
          <cell r="BR107">
            <v>-1.6449999999999996</v>
          </cell>
          <cell r="BS107">
            <v>71.206052514463735</v>
          </cell>
          <cell r="BT107">
            <v>94.191522762951337</v>
          </cell>
          <cell r="BU107">
            <v>-22.985470248487601</v>
          </cell>
          <cell r="BV107">
            <v>2.7870000000000004</v>
          </cell>
          <cell r="BW107">
            <v>2.9620000000000002</v>
          </cell>
          <cell r="BX107">
            <v>0.17499999999999982</v>
          </cell>
          <cell r="BY107">
            <v>172.22820236813777</v>
          </cell>
          <cell r="BZ107">
            <v>162.05266711681296</v>
          </cell>
          <cell r="CA107">
            <v>10.175535251324817</v>
          </cell>
          <cell r="CB107">
            <v>0.18400000000000002</v>
          </cell>
          <cell r="CC107">
            <v>0.125</v>
          </cell>
          <cell r="CD107">
            <v>-5.9000000000000025E-2</v>
          </cell>
          <cell r="CE107">
            <v>2608.6956521739125</v>
          </cell>
          <cell r="CF107">
            <v>3840</v>
          </cell>
          <cell r="CG107">
            <v>-1231.3043478260875</v>
          </cell>
          <cell r="CH107">
            <v>1.1606666666666665</v>
          </cell>
        </row>
        <row r="108">
          <cell r="A108" t="str">
            <v>R40921E</v>
          </cell>
          <cell r="B108"/>
          <cell r="C108">
            <v>1.1080000000000001</v>
          </cell>
          <cell r="D108">
            <v>2.7240000000000002</v>
          </cell>
          <cell r="E108">
            <v>0.16400000000000001</v>
          </cell>
          <cell r="F108">
            <v>0.85399999999999998</v>
          </cell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>
            <v>1.381</v>
          </cell>
          <cell r="S108">
            <v>3.4020000000000001</v>
          </cell>
          <cell r="T108">
            <v>0.186</v>
          </cell>
          <cell r="U108">
            <v>1.026</v>
          </cell>
          <cell r="V108"/>
          <cell r="W108">
            <v>1.1870000000000001</v>
          </cell>
          <cell r="X108">
            <v>2.8340000000000001</v>
          </cell>
          <cell r="Y108">
            <v>0.18</v>
          </cell>
          <cell r="Z108">
            <v>1.123</v>
          </cell>
          <cell r="AA108"/>
          <cell r="AB108">
            <v>1.167</v>
          </cell>
          <cell r="AC108">
            <v>2.8610000000000002</v>
          </cell>
          <cell r="AD108">
            <v>0.187</v>
          </cell>
          <cell r="AE108">
            <v>0.89600000000000002</v>
          </cell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 t="str">
            <v>0</v>
          </cell>
          <cell r="BK108">
            <v>0</v>
          </cell>
          <cell r="BL108">
            <v>0</v>
          </cell>
          <cell r="BM108" t="str">
            <v/>
          </cell>
          <cell r="BN108" t="str">
            <v>0</v>
          </cell>
          <cell r="BO108" t="str">
            <v/>
          </cell>
          <cell r="BP108">
            <v>1.21075</v>
          </cell>
          <cell r="BQ108">
            <v>3.157</v>
          </cell>
          <cell r="BR108">
            <v>1.94625</v>
          </cell>
          <cell r="BS108">
            <v>396.44848234565353</v>
          </cell>
          <cell r="BT108">
            <v>152.04307887234717</v>
          </cell>
          <cell r="BU108">
            <v>244.40540347330636</v>
          </cell>
          <cell r="BV108">
            <v>2.9552500000000004</v>
          </cell>
          <cell r="BW108">
            <v>2.5300000000000002</v>
          </cell>
          <cell r="BX108">
            <v>-0.42525000000000013</v>
          </cell>
          <cell r="BY108">
            <v>162.42280686913119</v>
          </cell>
          <cell r="BZ108">
            <v>189.72332015810275</v>
          </cell>
          <cell r="CA108">
            <v>-27.300513288971558</v>
          </cell>
          <cell r="CB108">
            <v>0.17925000000000002</v>
          </cell>
          <cell r="CC108">
            <v>0.111</v>
          </cell>
          <cell r="CD108">
            <v>-6.8250000000000019E-2</v>
          </cell>
          <cell r="CE108">
            <v>2677.8242677824264</v>
          </cell>
          <cell r="CF108">
            <v>4324.3243243243242</v>
          </cell>
          <cell r="CG108">
            <v>-1646.5000565418977</v>
          </cell>
          <cell r="CH108">
            <v>0.97475000000000001</v>
          </cell>
        </row>
        <row r="109">
          <cell r="A109" t="str">
            <v>R41122E</v>
          </cell>
          <cell r="B109"/>
          <cell r="C109"/>
          <cell r="D109"/>
          <cell r="E109"/>
          <cell r="F109"/>
          <cell r="G109"/>
          <cell r="H109">
            <v>5.5</v>
          </cell>
          <cell r="I109"/>
          <cell r="J109"/>
          <cell r="K109"/>
          <cell r="L109"/>
          <cell r="M109">
            <v>5.415</v>
          </cell>
          <cell r="N109">
            <v>16.89</v>
          </cell>
          <cell r="O109">
            <v>0.122</v>
          </cell>
          <cell r="P109">
            <v>2.75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 t="str">
            <v>0</v>
          </cell>
          <cell r="BK109">
            <v>0</v>
          </cell>
          <cell r="BL109">
            <v>0</v>
          </cell>
          <cell r="BM109" t="str">
            <v/>
          </cell>
          <cell r="BN109" t="str">
            <v>0</v>
          </cell>
          <cell r="BO109" t="str">
            <v/>
          </cell>
          <cell r="BP109">
            <v>5.4574999999999996</v>
          </cell>
          <cell r="BQ109">
            <v>3.6</v>
          </cell>
          <cell r="BR109">
            <v>-1.8574999999999995</v>
          </cell>
          <cell r="BS109">
            <v>87.952359138799821</v>
          </cell>
          <cell r="BT109">
            <v>133.33333333333334</v>
          </cell>
          <cell r="BU109">
            <v>-45.380974194533522</v>
          </cell>
          <cell r="BV109">
            <v>16.89</v>
          </cell>
          <cell r="BW109">
            <v>3.46</v>
          </cell>
          <cell r="BX109">
            <v>-13.43</v>
          </cell>
          <cell r="BY109">
            <v>28.419182948490231</v>
          </cell>
          <cell r="BZ109">
            <v>138.72832369942196</v>
          </cell>
          <cell r="CA109">
            <v>-110.30914075093173</v>
          </cell>
          <cell r="CB109">
            <v>0.122</v>
          </cell>
          <cell r="CC109">
            <v>0.1</v>
          </cell>
          <cell r="CD109">
            <v>-2.1999999999999992E-2</v>
          </cell>
          <cell r="CE109">
            <v>3934.4262295081967</v>
          </cell>
          <cell r="CF109">
            <v>4800</v>
          </cell>
          <cell r="CG109">
            <v>-865.57377049180332</v>
          </cell>
          <cell r="CH109">
            <v>2.75</v>
          </cell>
        </row>
        <row r="110">
          <cell r="A110" t="str">
            <v>R41179E</v>
          </cell>
          <cell r="B110"/>
          <cell r="C110">
            <v>2.952</v>
          </cell>
          <cell r="D110">
            <v>3.2480000000000002</v>
          </cell>
          <cell r="E110">
            <v>0.152</v>
          </cell>
          <cell r="F110"/>
          <cell r="G110"/>
          <cell r="H110"/>
          <cell r="I110"/>
          <cell r="J110"/>
          <cell r="K110">
            <v>1.399</v>
          </cell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>
            <v>3.246</v>
          </cell>
          <cell r="X110">
            <v>2.5619999999999998</v>
          </cell>
          <cell r="Y110">
            <v>0.16300000000000001</v>
          </cell>
          <cell r="Z110">
            <v>1.0920000000000001</v>
          </cell>
          <cell r="AA110"/>
          <cell r="AB110">
            <v>3.8340000000000001</v>
          </cell>
          <cell r="AC110">
            <v>2.3140000000000001</v>
          </cell>
          <cell r="AD110">
            <v>0.20599999999999999</v>
          </cell>
          <cell r="AE110">
            <v>1.089</v>
          </cell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 t="str">
            <v>0</v>
          </cell>
          <cell r="BK110">
            <v>0</v>
          </cell>
          <cell r="BL110">
            <v>0</v>
          </cell>
          <cell r="BM110" t="str">
            <v/>
          </cell>
          <cell r="BN110" t="str">
            <v>0</v>
          </cell>
          <cell r="BO110" t="str">
            <v/>
          </cell>
          <cell r="BP110">
            <v>3.3439999999999999</v>
          </cell>
          <cell r="BQ110">
            <v>4.4969999999999999</v>
          </cell>
          <cell r="BR110">
            <v>1.153</v>
          </cell>
          <cell r="BS110">
            <v>143.54066985645935</v>
          </cell>
          <cell r="BT110">
            <v>106.73782521681122</v>
          </cell>
          <cell r="BU110">
            <v>36.802844639648129</v>
          </cell>
          <cell r="BV110">
            <v>2.7080000000000002</v>
          </cell>
          <cell r="BW110">
            <v>4.734</v>
          </cell>
          <cell r="BX110">
            <v>2.0259999999999998</v>
          </cell>
          <cell r="BY110">
            <v>177.25258493353027</v>
          </cell>
          <cell r="BZ110">
            <v>101.39416983523448</v>
          </cell>
          <cell r="CA110">
            <v>75.858415098295794</v>
          </cell>
          <cell r="CB110">
            <v>0.17366666666666666</v>
          </cell>
          <cell r="CC110">
            <v>0.159</v>
          </cell>
          <cell r="CD110">
            <v>-1.4666666666666661E-2</v>
          </cell>
          <cell r="CE110">
            <v>2763.915547024952</v>
          </cell>
          <cell r="CF110">
            <v>3018.867924528302</v>
          </cell>
          <cell r="CG110">
            <v>-254.95237750334991</v>
          </cell>
          <cell r="CH110">
            <v>1.1933333333333334</v>
          </cell>
        </row>
        <row r="111">
          <cell r="A111" t="str">
            <v>R41180E</v>
          </cell>
          <cell r="B111"/>
          <cell r="C111">
            <v>4.3810000000000002</v>
          </cell>
          <cell r="D111">
            <v>3.2810000000000001</v>
          </cell>
          <cell r="E111">
            <v>0.17699999999999999</v>
          </cell>
          <cell r="F111">
            <v>1.6879999999999999</v>
          </cell>
          <cell r="G111"/>
          <cell r="H111">
            <v>5</v>
          </cell>
          <cell r="I111">
            <v>4.6269999999999998</v>
          </cell>
          <cell r="J111">
            <v>0.159</v>
          </cell>
          <cell r="K111">
            <v>1.8</v>
          </cell>
          <cell r="L111"/>
          <cell r="M111">
            <v>5.7640000000000002</v>
          </cell>
          <cell r="N111">
            <v>4.7640000000000002</v>
          </cell>
          <cell r="O111">
            <v>0.13100000000000001</v>
          </cell>
          <cell r="P111">
            <v>2.2000000000000002</v>
          </cell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 t="str">
            <v>0</v>
          </cell>
          <cell r="BK111">
            <v>0</v>
          </cell>
          <cell r="BL111">
            <v>0</v>
          </cell>
          <cell r="BM111" t="str">
            <v/>
          </cell>
          <cell r="BN111" t="str">
            <v>0</v>
          </cell>
          <cell r="BO111" t="str">
            <v/>
          </cell>
          <cell r="BP111">
            <v>5.0483333333333329</v>
          </cell>
          <cell r="BQ111">
            <v>4.78</v>
          </cell>
          <cell r="BR111">
            <v>-0.26833333333333265</v>
          </cell>
          <cell r="BS111">
            <v>95.080884780455605</v>
          </cell>
          <cell r="BT111">
            <v>100.418410041841</v>
          </cell>
          <cell r="BU111">
            <v>-5.3375252613853945</v>
          </cell>
          <cell r="BV111">
            <v>4.2240000000000002</v>
          </cell>
          <cell r="BW111">
            <v>4.18</v>
          </cell>
          <cell r="BX111">
            <v>-4.4000000000000483E-2</v>
          </cell>
          <cell r="BY111">
            <v>113.63636363636363</v>
          </cell>
          <cell r="BZ111">
            <v>114.83253588516747</v>
          </cell>
          <cell r="CA111">
            <v>-1.1961722488038475</v>
          </cell>
          <cell r="CB111">
            <v>0.15566666666666665</v>
          </cell>
          <cell r="CC111">
            <v>0.15</v>
          </cell>
          <cell r="CD111">
            <v>-5.6666666666666532E-3</v>
          </cell>
          <cell r="CE111">
            <v>3083.5117773019274</v>
          </cell>
          <cell r="CF111">
            <v>3200</v>
          </cell>
          <cell r="CG111">
            <v>-116.4882226980726</v>
          </cell>
          <cell r="CH111">
            <v>1.8960000000000001</v>
          </cell>
        </row>
        <row r="112">
          <cell r="A112" t="str">
            <v>R41180EZ</v>
          </cell>
          <cell r="B112"/>
          <cell r="C112"/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>
            <v>4.6769999999999996</v>
          </cell>
          <cell r="S112">
            <v>3.645</v>
          </cell>
          <cell r="T112">
            <v>0.19500000000000001</v>
          </cell>
          <cell r="U112">
            <v>1.625</v>
          </cell>
          <cell r="V112"/>
          <cell r="W112">
            <v>4.9050000000000002</v>
          </cell>
          <cell r="X112">
            <v>2.8159999999999998</v>
          </cell>
          <cell r="Y112">
            <v>0.193</v>
          </cell>
          <cell r="Z112">
            <v>1.5760000000000001</v>
          </cell>
          <cell r="AA112"/>
          <cell r="AB112">
            <v>5.6239999999999997</v>
          </cell>
          <cell r="AC112">
            <v>2.4849999999999999</v>
          </cell>
          <cell r="AD112">
            <v>0.192</v>
          </cell>
          <cell r="AE112">
            <v>1.411</v>
          </cell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  <cell r="BZ112"/>
          <cell r="CA112"/>
          <cell r="CB112"/>
          <cell r="CC112"/>
          <cell r="CD112"/>
          <cell r="CE112"/>
          <cell r="CF112"/>
          <cell r="CG112"/>
          <cell r="CH112"/>
        </row>
        <row r="113">
          <cell r="A113" t="str">
            <v>R41390EZ</v>
          </cell>
          <cell r="B113"/>
          <cell r="C113">
            <v>2.415</v>
          </cell>
          <cell r="D113">
            <v>2.7850000000000001</v>
          </cell>
          <cell r="E113">
            <v>0.16300000000000001</v>
          </cell>
          <cell r="F113">
            <v>1.105</v>
          </cell>
          <cell r="G113"/>
          <cell r="H113">
            <v>2.0760000000000001</v>
          </cell>
          <cell r="I113">
            <v>2.202</v>
          </cell>
          <cell r="J113">
            <v>0.16200000000000001</v>
          </cell>
          <cell r="K113">
            <v>1.5</v>
          </cell>
          <cell r="L113"/>
          <cell r="M113">
            <v>3.0739999999999998</v>
          </cell>
          <cell r="N113">
            <v>2.867</v>
          </cell>
          <cell r="O113">
            <v>0.16800000000000001</v>
          </cell>
          <cell r="P113">
            <v>1.1100000000000001</v>
          </cell>
          <cell r="Q113"/>
          <cell r="R113">
            <v>2.8029999999999999</v>
          </cell>
          <cell r="S113">
            <v>3.3140000000000001</v>
          </cell>
          <cell r="T113">
            <v>0.189</v>
          </cell>
          <cell r="U113">
            <v>1.603</v>
          </cell>
          <cell r="V113"/>
          <cell r="W113">
            <v>2.74</v>
          </cell>
          <cell r="X113">
            <v>2.4009999999999998</v>
          </cell>
          <cell r="Y113">
            <v>0.17100000000000001</v>
          </cell>
          <cell r="Z113">
            <v>1.054</v>
          </cell>
          <cell r="AA113"/>
          <cell r="AB113">
            <v>2.6110000000000002</v>
          </cell>
          <cell r="AC113">
            <v>3.117</v>
          </cell>
          <cell r="AD113">
            <v>0.2</v>
          </cell>
          <cell r="AE113">
            <v>1.0429999999999999</v>
          </cell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 t="str">
            <v>0</v>
          </cell>
          <cell r="BK113">
            <v>0</v>
          </cell>
          <cell r="BL113">
            <v>0</v>
          </cell>
          <cell r="BM113" t="str">
            <v/>
          </cell>
          <cell r="BN113" t="str">
            <v>0</v>
          </cell>
          <cell r="BO113" t="str">
            <v/>
          </cell>
          <cell r="BP113">
            <v>2.6198333333333332</v>
          </cell>
          <cell r="BQ113">
            <v>4.7080000000000002</v>
          </cell>
          <cell r="BR113">
            <v>2.0881666666666669</v>
          </cell>
          <cell r="BS113">
            <v>183.21776194414403</v>
          </cell>
          <cell r="BT113">
            <v>101.95412064570942</v>
          </cell>
          <cell r="BU113">
            <v>81.263641298434607</v>
          </cell>
          <cell r="BV113">
            <v>2.7810000000000001</v>
          </cell>
          <cell r="BW113">
            <v>2.8559999999999999</v>
          </cell>
          <cell r="BX113">
            <v>7.4999999999999734E-2</v>
          </cell>
          <cell r="BY113">
            <v>172.59978425026969</v>
          </cell>
          <cell r="BZ113">
            <v>168.0672268907563</v>
          </cell>
          <cell r="CA113">
            <v>4.5325573595133903</v>
          </cell>
          <cell r="CB113">
            <v>0.17549999999999999</v>
          </cell>
          <cell r="CC113">
            <v>0.13700000000000001</v>
          </cell>
          <cell r="CD113">
            <v>-3.8499999999999979E-2</v>
          </cell>
          <cell r="CE113">
            <v>2735.0427350427353</v>
          </cell>
          <cell r="CF113">
            <v>3503.649635036496</v>
          </cell>
          <cell r="CG113">
            <v>-768.60689999376063</v>
          </cell>
          <cell r="CH113">
            <v>1.2358333333333333</v>
          </cell>
        </row>
        <row r="114">
          <cell r="A114" t="str">
            <v>R41391EZ</v>
          </cell>
          <cell r="B114"/>
          <cell r="C114"/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>
            <v>3.6640000000000001</v>
          </cell>
          <cell r="AC114">
            <v>3.3650000000000002</v>
          </cell>
          <cell r="AD114">
            <v>0.216</v>
          </cell>
          <cell r="AE114">
            <v>0.93200000000000005</v>
          </cell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 t="str">
            <v>0</v>
          </cell>
          <cell r="BK114">
            <v>0</v>
          </cell>
          <cell r="BL114">
            <v>0</v>
          </cell>
          <cell r="BM114" t="str">
            <v/>
          </cell>
          <cell r="BN114" t="str">
            <v>0</v>
          </cell>
          <cell r="BO114" t="str">
            <v/>
          </cell>
          <cell r="BP114">
            <v>3.6640000000000001</v>
          </cell>
          <cell r="BQ114">
            <v>3.43</v>
          </cell>
          <cell r="BR114">
            <v>-0.23399999999999999</v>
          </cell>
          <cell r="BS114">
            <v>131.00436681222706</v>
          </cell>
          <cell r="BT114">
            <v>139.94169096209913</v>
          </cell>
          <cell r="BU114">
            <v>-8.9373241498720688</v>
          </cell>
          <cell r="BV114">
            <v>3.3650000000000002</v>
          </cell>
          <cell r="BW114">
            <v>2.08</v>
          </cell>
          <cell r="BX114">
            <v>-1.2850000000000001</v>
          </cell>
          <cell r="BY114">
            <v>142.64487369985142</v>
          </cell>
          <cell r="BZ114">
            <v>230.76923076923077</v>
          </cell>
          <cell r="CA114">
            <v>-88.124357069379357</v>
          </cell>
          <cell r="CB114">
            <v>0.216</v>
          </cell>
          <cell r="CC114">
            <v>0.1</v>
          </cell>
          <cell r="CD114">
            <v>-0.11599999999999999</v>
          </cell>
          <cell r="CE114">
            <v>2222.2222222222222</v>
          </cell>
          <cell r="CF114">
            <v>4800</v>
          </cell>
          <cell r="CG114">
            <v>-2577.7777777777778</v>
          </cell>
          <cell r="CH114">
            <v>0.93200000000000005</v>
          </cell>
        </row>
        <row r="115">
          <cell r="A115" t="str">
            <v>R41413EZ</v>
          </cell>
          <cell r="B115"/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>
            <v>5.7</v>
          </cell>
          <cell r="X115"/>
          <cell r="Y115"/>
          <cell r="Z115"/>
          <cell r="AA115"/>
          <cell r="AB115">
            <v>4.5229999999999997</v>
          </cell>
          <cell r="AC115">
            <v>5.617</v>
          </cell>
          <cell r="AD115">
            <v>0.188</v>
          </cell>
          <cell r="AE115">
            <v>1.65</v>
          </cell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 t="str">
            <v>0</v>
          </cell>
          <cell r="BK115">
            <v>0</v>
          </cell>
          <cell r="BL115">
            <v>0</v>
          </cell>
          <cell r="BM115" t="str">
            <v/>
          </cell>
          <cell r="BN115" t="str">
            <v>0</v>
          </cell>
          <cell r="BO115" t="str">
            <v/>
          </cell>
          <cell r="BP115">
            <v>5.1114999999999995</v>
          </cell>
          <cell r="BQ115">
            <v>5.4</v>
          </cell>
          <cell r="BR115">
            <v>0.28850000000000087</v>
          </cell>
          <cell r="BS115">
            <v>93.905898464247301</v>
          </cell>
          <cell r="BT115">
            <v>88.888888888888886</v>
          </cell>
          <cell r="BU115">
            <v>5.017009575358415</v>
          </cell>
          <cell r="BV115">
            <v>5.617</v>
          </cell>
          <cell r="BW115">
            <v>4.93</v>
          </cell>
          <cell r="BX115">
            <v>-0.68700000000000028</v>
          </cell>
          <cell r="BY115">
            <v>85.454869147231619</v>
          </cell>
          <cell r="BZ115">
            <v>97.363083164300207</v>
          </cell>
          <cell r="CA115">
            <v>-11.908214017068588</v>
          </cell>
          <cell r="CB115">
            <v>0.188</v>
          </cell>
          <cell r="CC115">
            <v>0.1</v>
          </cell>
          <cell r="CD115">
            <v>-8.7999999999999995E-2</v>
          </cell>
          <cell r="CE115">
            <v>2553.1914893617022</v>
          </cell>
          <cell r="CF115">
            <v>4800</v>
          </cell>
          <cell r="CG115">
            <v>-2246.8085106382978</v>
          </cell>
          <cell r="CH115">
            <v>1.65</v>
          </cell>
        </row>
        <row r="116">
          <cell r="A116" t="str">
            <v>R41414EZ</v>
          </cell>
          <cell r="B116"/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>
            <v>5.3550000000000004</v>
          </cell>
          <cell r="X116">
            <v>6.609</v>
          </cell>
          <cell r="Y116">
            <v>0.151</v>
          </cell>
          <cell r="Z116">
            <v>1.254</v>
          </cell>
          <cell r="AA116"/>
          <cell r="AB116">
            <v>5.1580000000000004</v>
          </cell>
          <cell r="AC116">
            <v>7.851</v>
          </cell>
          <cell r="AD116">
            <v>0.19600000000000001</v>
          </cell>
          <cell r="AE116">
            <v>1.2170000000000001</v>
          </cell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 t="str">
            <v>0</v>
          </cell>
          <cell r="BK116">
            <v>0</v>
          </cell>
          <cell r="BL116">
            <v>0</v>
          </cell>
          <cell r="BM116" t="str">
            <v/>
          </cell>
          <cell r="BN116" t="str">
            <v>0</v>
          </cell>
          <cell r="BO116" t="str">
            <v/>
          </cell>
          <cell r="BP116">
            <v>5.2565000000000008</v>
          </cell>
          <cell r="BQ116">
            <v>4.0140000000000002</v>
          </cell>
          <cell r="BR116">
            <v>-1.2425000000000006</v>
          </cell>
          <cell r="BS116">
            <v>91.31551412536858</v>
          </cell>
          <cell r="BT116">
            <v>119.58146487294469</v>
          </cell>
          <cell r="BU116">
            <v>-28.265950747576113</v>
          </cell>
          <cell r="BV116">
            <v>7.23</v>
          </cell>
          <cell r="BW116">
            <v>4.282</v>
          </cell>
          <cell r="BX116">
            <v>-2.9480000000000004</v>
          </cell>
          <cell r="BY116">
            <v>66.390041493775925</v>
          </cell>
          <cell r="BZ116">
            <v>112.09715086408221</v>
          </cell>
          <cell r="CA116">
            <v>-45.707109370306284</v>
          </cell>
          <cell r="CB116">
            <v>0.17349999999999999</v>
          </cell>
          <cell r="CC116">
            <v>0.14899999999999999</v>
          </cell>
          <cell r="CD116">
            <v>-2.4499999999999994E-2</v>
          </cell>
          <cell r="CE116">
            <v>2766.5706051873199</v>
          </cell>
          <cell r="CF116">
            <v>3221.4765100671143</v>
          </cell>
          <cell r="CG116">
            <v>-454.90590487979443</v>
          </cell>
          <cell r="CH116">
            <v>1.2355</v>
          </cell>
        </row>
        <row r="117">
          <cell r="A117" t="str">
            <v>R41462E</v>
          </cell>
          <cell r="B117"/>
          <cell r="C117">
            <v>9.5790000000000006</v>
          </cell>
          <cell r="D117">
            <v>8.843</v>
          </cell>
          <cell r="E117">
            <v>0.17899999999999999</v>
          </cell>
          <cell r="F117">
            <v>1.1379999999999999</v>
          </cell>
          <cell r="G117"/>
          <cell r="H117">
            <v>9.5519999999999996</v>
          </cell>
          <cell r="I117">
            <v>9</v>
          </cell>
          <cell r="J117">
            <v>0.16800000000000001</v>
          </cell>
          <cell r="K117"/>
          <cell r="L117"/>
          <cell r="M117">
            <v>8.8469999999999995</v>
          </cell>
          <cell r="N117">
            <v>6.6669999999999998</v>
          </cell>
          <cell r="O117">
            <v>0.17199999999999999</v>
          </cell>
          <cell r="P117">
            <v>2.0249999999999999</v>
          </cell>
          <cell r="Q117"/>
          <cell r="R117"/>
          <cell r="S117"/>
          <cell r="T117"/>
          <cell r="U117"/>
          <cell r="V117"/>
          <cell r="W117">
            <v>13.571</v>
          </cell>
          <cell r="X117"/>
          <cell r="Y117"/>
          <cell r="Z117"/>
          <cell r="AA117"/>
          <cell r="AB117">
            <v>7.5919999999999996</v>
          </cell>
          <cell r="AC117">
            <v>5.9729999999999999</v>
          </cell>
          <cell r="AD117">
            <v>0.19700000000000001</v>
          </cell>
          <cell r="AE117">
            <v>1.125</v>
          </cell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 t="str">
            <v>0</v>
          </cell>
          <cell r="BK117">
            <v>0</v>
          </cell>
          <cell r="BL117">
            <v>0</v>
          </cell>
          <cell r="BM117" t="str">
            <v/>
          </cell>
          <cell r="BN117" t="str">
            <v>0</v>
          </cell>
          <cell r="BO117" t="str">
            <v/>
          </cell>
          <cell r="BP117">
            <v>9.8281999999999989</v>
          </cell>
          <cell r="BQ117">
            <v>6</v>
          </cell>
          <cell r="BR117">
            <v>-3.8281999999999989</v>
          </cell>
          <cell r="BS117">
            <v>48.839054964286447</v>
          </cell>
          <cell r="BT117">
            <v>80</v>
          </cell>
          <cell r="BU117">
            <v>-31.160945035713553</v>
          </cell>
          <cell r="BV117">
            <v>7.6207499999999992</v>
          </cell>
          <cell r="BW117">
            <v>4.17</v>
          </cell>
          <cell r="BX117">
            <v>-3.4507499999999993</v>
          </cell>
          <cell r="BY117">
            <v>62.985926582029336</v>
          </cell>
          <cell r="BZ117">
            <v>115.10791366906474</v>
          </cell>
          <cell r="CA117">
            <v>-52.121987087035407</v>
          </cell>
          <cell r="CB117">
            <v>0.17899999999999999</v>
          </cell>
          <cell r="CC117">
            <v>0.1</v>
          </cell>
          <cell r="CD117">
            <v>-7.8999999999999987E-2</v>
          </cell>
          <cell r="CE117">
            <v>2681.564245810056</v>
          </cell>
          <cell r="CF117">
            <v>4800</v>
          </cell>
          <cell r="CG117">
            <v>-2118.435754189944</v>
          </cell>
          <cell r="CH117">
            <v>1.4293333333333333</v>
          </cell>
        </row>
        <row r="118">
          <cell r="A118" t="str">
            <v>R41540EZ</v>
          </cell>
          <cell r="B118"/>
          <cell r="C118">
            <v>6.7389999999999999</v>
          </cell>
          <cell r="D118">
            <v>4.5860000000000003</v>
          </cell>
          <cell r="E118">
            <v>0.17199999999999999</v>
          </cell>
          <cell r="F118">
            <v>1.48</v>
          </cell>
          <cell r="G118"/>
          <cell r="H118">
            <v>6.04</v>
          </cell>
          <cell r="I118">
            <v>7.101</v>
          </cell>
          <cell r="J118">
            <v>0.155</v>
          </cell>
          <cell r="K118">
            <v>2.5379999999999998</v>
          </cell>
          <cell r="L118"/>
          <cell r="M118">
            <v>8.9450000000000003</v>
          </cell>
          <cell r="N118">
            <v>2.9790000000000001</v>
          </cell>
          <cell r="O118">
            <v>0.17599999999999999</v>
          </cell>
          <cell r="P118">
            <v>2.484</v>
          </cell>
          <cell r="Q118"/>
          <cell r="R118"/>
          <cell r="S118">
            <v>4.875</v>
          </cell>
          <cell r="T118">
            <v>0.153</v>
          </cell>
          <cell r="U118">
            <v>2.972</v>
          </cell>
          <cell r="V118"/>
          <cell r="W118"/>
          <cell r="X118"/>
          <cell r="Y118"/>
          <cell r="Z118"/>
          <cell r="AA118"/>
          <cell r="AB118">
            <v>7.1950000000000003</v>
          </cell>
          <cell r="AC118">
            <v>4.3710000000000004</v>
          </cell>
          <cell r="AD118">
            <v>0.19400000000000001</v>
          </cell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 t="str">
            <v>0</v>
          </cell>
          <cell r="BK118">
            <v>0</v>
          </cell>
          <cell r="BL118">
            <v>0</v>
          </cell>
          <cell r="BM118" t="str">
            <v/>
          </cell>
          <cell r="BN118" t="str">
            <v>0</v>
          </cell>
          <cell r="BO118" t="str">
            <v/>
          </cell>
          <cell r="BP118">
            <v>7.2297500000000001</v>
          </cell>
          <cell r="BQ118">
            <v>6.86</v>
          </cell>
          <cell r="BR118">
            <v>-0.3697499999999998</v>
          </cell>
          <cell r="BS118">
            <v>66.392337217746118</v>
          </cell>
          <cell r="BT118">
            <v>69.970845481049565</v>
          </cell>
          <cell r="BU118">
            <v>-3.5785082633034477</v>
          </cell>
          <cell r="BV118">
            <v>4.7824</v>
          </cell>
          <cell r="BW118">
            <v>4.76</v>
          </cell>
          <cell r="BX118">
            <v>-2.2400000000000198E-2</v>
          </cell>
          <cell r="BY118">
            <v>100.36801605888257</v>
          </cell>
          <cell r="BZ118">
            <v>100.84033613445379</v>
          </cell>
          <cell r="CA118">
            <v>-0.47232007557121847</v>
          </cell>
          <cell r="CB118">
            <v>0.16999999999999998</v>
          </cell>
          <cell r="CC118">
            <v>0.1</v>
          </cell>
          <cell r="CD118">
            <v>-6.9999999999999979E-2</v>
          </cell>
          <cell r="CE118">
            <v>2823.5294117647063</v>
          </cell>
          <cell r="CF118">
            <v>4800</v>
          </cell>
          <cell r="CG118">
            <v>-1976.4705882352937</v>
          </cell>
          <cell r="CH118">
            <v>2.3685</v>
          </cell>
        </row>
        <row r="119">
          <cell r="A119" t="str">
            <v>R41654EZ</v>
          </cell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>
            <v>5.4249999999999998</v>
          </cell>
          <cell r="N119">
            <v>14.923999999999999</v>
          </cell>
          <cell r="O119">
            <v>0.16700000000000001</v>
          </cell>
          <cell r="P119"/>
          <cell r="Q119"/>
          <cell r="R119"/>
          <cell r="S119"/>
          <cell r="T119"/>
          <cell r="U119">
            <v>4.8860000000000001</v>
          </cell>
          <cell r="V119"/>
          <cell r="W119">
            <v>5.6859999999999999</v>
          </cell>
          <cell r="X119">
            <v>4.4189999999999996</v>
          </cell>
          <cell r="Y119">
            <v>0.17799999999999999</v>
          </cell>
          <cell r="Z119">
            <v>1.835</v>
          </cell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 t="str">
            <v>0</v>
          </cell>
          <cell r="BK119">
            <v>0</v>
          </cell>
          <cell r="BL119">
            <v>0</v>
          </cell>
          <cell r="BM119" t="str">
            <v/>
          </cell>
          <cell r="BN119" t="str">
            <v>0</v>
          </cell>
          <cell r="BO119" t="str">
            <v/>
          </cell>
          <cell r="BP119">
            <v>5.5555000000000003</v>
          </cell>
          <cell r="BQ119">
            <v>5.52</v>
          </cell>
          <cell r="BR119">
            <v>-3.5500000000000753E-2</v>
          </cell>
          <cell r="BS119">
            <v>86.400864008640085</v>
          </cell>
          <cell r="BT119">
            <v>86.956521739130437</v>
          </cell>
          <cell r="BU119">
            <v>-0.55565773049035272</v>
          </cell>
          <cell r="BV119">
            <v>9.6715</v>
          </cell>
          <cell r="BW119">
            <v>3.79</v>
          </cell>
          <cell r="BX119">
            <v>-5.8815</v>
          </cell>
          <cell r="BY119">
            <v>49.630357235175516</v>
          </cell>
          <cell r="BZ119">
            <v>126.64907651715039</v>
          </cell>
          <cell r="CA119">
            <v>-77.018719281974882</v>
          </cell>
          <cell r="CB119">
            <v>0.17249999999999999</v>
          </cell>
          <cell r="CC119">
            <v>0.1</v>
          </cell>
          <cell r="CD119">
            <v>-7.2499999999999981E-2</v>
          </cell>
          <cell r="CE119">
            <v>2782.608695652174</v>
          </cell>
          <cell r="CF119">
            <v>4800</v>
          </cell>
          <cell r="CG119">
            <v>-2017.391304347826</v>
          </cell>
          <cell r="CH119">
            <v>3.3605</v>
          </cell>
        </row>
        <row r="120">
          <cell r="A120" t="str">
            <v>R41705E</v>
          </cell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>
            <v>7.55</v>
          </cell>
          <cell r="X120">
            <v>6.29</v>
          </cell>
          <cell r="Y120">
            <v>0.17100000000000001</v>
          </cell>
          <cell r="Z120">
            <v>1.4079999999999999</v>
          </cell>
          <cell r="AA120"/>
          <cell r="AB120">
            <v>6.7329999999999997</v>
          </cell>
          <cell r="AC120">
            <v>4.8730000000000002</v>
          </cell>
          <cell r="AD120">
            <v>0.127</v>
          </cell>
          <cell r="AE120">
            <v>1.7649999999999999</v>
          </cell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 t="str">
            <v>0</v>
          </cell>
          <cell r="BK120">
            <v>0</v>
          </cell>
          <cell r="BL120">
            <v>0</v>
          </cell>
          <cell r="BM120" t="str">
            <v/>
          </cell>
          <cell r="BN120" t="str">
            <v>0</v>
          </cell>
          <cell r="BO120" t="str">
            <v/>
          </cell>
          <cell r="BP120">
            <v>7.1414999999999997</v>
          </cell>
          <cell r="BQ120">
            <v>7.516</v>
          </cell>
          <cell r="BR120">
            <v>0.37450000000000028</v>
          </cell>
          <cell r="BS120">
            <v>67.212770426381013</v>
          </cell>
          <cell r="BT120">
            <v>63.86375731772219</v>
          </cell>
          <cell r="BU120">
            <v>3.3490131086588235</v>
          </cell>
          <cell r="BV120">
            <v>5.5815000000000001</v>
          </cell>
          <cell r="BW120">
            <v>5.5869999999999997</v>
          </cell>
          <cell r="BX120">
            <v>5.4999999999996163E-3</v>
          </cell>
          <cell r="BY120">
            <v>85.998387530233799</v>
          </cell>
          <cell r="BZ120">
            <v>85.913728297834268</v>
          </cell>
          <cell r="CA120">
            <v>8.4659232399530993E-2</v>
          </cell>
          <cell r="CB120">
            <v>0.14900000000000002</v>
          </cell>
          <cell r="CC120">
            <v>0.153</v>
          </cell>
          <cell r="CD120">
            <v>3.9999999999999758E-3</v>
          </cell>
          <cell r="CE120">
            <v>3221.4765100671138</v>
          </cell>
          <cell r="CF120">
            <v>3137.2549019607845</v>
          </cell>
          <cell r="CG120">
            <v>84.221608106329313</v>
          </cell>
          <cell r="CH120">
            <v>1.5865</v>
          </cell>
        </row>
        <row r="121">
          <cell r="A121" t="str">
            <v>R41847EZ</v>
          </cell>
          <cell r="B121"/>
          <cell r="C121">
            <v>1.6850000000000001</v>
          </cell>
          <cell r="D121">
            <v>1.6279999999999999</v>
          </cell>
          <cell r="E121">
            <v>0.17499999999999999</v>
          </cell>
          <cell r="F121">
            <v>1.419</v>
          </cell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>
            <v>3.9889999999999999</v>
          </cell>
          <cell r="T121">
            <v>0.13600000000000001</v>
          </cell>
          <cell r="U121">
            <v>1.5820000000000001</v>
          </cell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 t="str">
            <v>0</v>
          </cell>
          <cell r="BK121">
            <v>0</v>
          </cell>
          <cell r="BL121">
            <v>0</v>
          </cell>
          <cell r="BM121" t="str">
            <v/>
          </cell>
          <cell r="BN121" t="str">
            <v>0</v>
          </cell>
          <cell r="BO121" t="str">
            <v/>
          </cell>
          <cell r="BP121">
            <v>1.6850000000000001</v>
          </cell>
          <cell r="BQ121">
            <v>1.613</v>
          </cell>
          <cell r="BR121">
            <v>-7.2000000000000064E-2</v>
          </cell>
          <cell r="BS121">
            <v>284.86646884272994</v>
          </cell>
          <cell r="BT121">
            <v>297.58214507129571</v>
          </cell>
          <cell r="BU121">
            <v>-12.715676228565769</v>
          </cell>
          <cell r="BV121">
            <v>2.8085</v>
          </cell>
          <cell r="BW121">
            <v>2.0629999999999997</v>
          </cell>
          <cell r="BX121">
            <v>-0.74550000000000027</v>
          </cell>
          <cell r="BY121">
            <v>170.90973829446324</v>
          </cell>
          <cell r="BZ121">
            <v>232.67086766844403</v>
          </cell>
          <cell r="CA121">
            <v>-61.761129373980793</v>
          </cell>
          <cell r="CB121">
            <v>0.1555</v>
          </cell>
          <cell r="CC121">
            <v>0.105</v>
          </cell>
          <cell r="CD121">
            <v>-5.0500000000000003E-2</v>
          </cell>
          <cell r="CE121">
            <v>3086.8167202572349</v>
          </cell>
          <cell r="CF121">
            <v>4571.4285714285716</v>
          </cell>
          <cell r="CG121">
            <v>-1484.6118511713366</v>
          </cell>
          <cell r="CH121">
            <v>1.5005000000000002</v>
          </cell>
        </row>
        <row r="122">
          <cell r="A122" t="str">
            <v>R41848E</v>
          </cell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>
            <v>5.6260000000000003</v>
          </cell>
          <cell r="S122"/>
          <cell r="T122"/>
          <cell r="U122"/>
          <cell r="V122"/>
          <cell r="W122">
            <v>5.0010000000000003</v>
          </cell>
          <cell r="X122">
            <v>5.0549999999999997</v>
          </cell>
          <cell r="Y122">
            <v>0.188</v>
          </cell>
          <cell r="Z122">
            <v>2.8519999999999999</v>
          </cell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 t="str">
            <v>0</v>
          </cell>
          <cell r="BK122">
            <v>0</v>
          </cell>
          <cell r="BL122">
            <v>0</v>
          </cell>
          <cell r="BM122" t="str">
            <v/>
          </cell>
          <cell r="BN122" t="str">
            <v>0</v>
          </cell>
          <cell r="BO122" t="str">
            <v/>
          </cell>
          <cell r="BP122">
            <v>5.3135000000000003</v>
          </cell>
          <cell r="BQ122">
            <v>10.343</v>
          </cell>
          <cell r="BR122">
            <v>5.0294999999999996</v>
          </cell>
          <cell r="BS122">
            <v>90.335936764844263</v>
          </cell>
          <cell r="BT122">
            <v>46.408198781784783</v>
          </cell>
          <cell r="BU122">
            <v>43.92773798305948</v>
          </cell>
          <cell r="BV122">
            <v>5.0549999999999997</v>
          </cell>
          <cell r="BW122">
            <v>4.2409999999999997</v>
          </cell>
          <cell r="BX122">
            <v>-0.81400000000000006</v>
          </cell>
          <cell r="BY122">
            <v>94.955489614243334</v>
          </cell>
          <cell r="BZ122">
            <v>113.18085357227071</v>
          </cell>
          <cell r="CA122">
            <v>-18.225363958027373</v>
          </cell>
          <cell r="CB122">
            <v>0.188</v>
          </cell>
          <cell r="CC122">
            <v>0.10100000000000001</v>
          </cell>
          <cell r="CD122">
            <v>-8.6999999999999994E-2</v>
          </cell>
          <cell r="CE122">
            <v>2553.1914893617022</v>
          </cell>
          <cell r="CF122">
            <v>4752.4752475247524</v>
          </cell>
          <cell r="CG122">
            <v>-2199.2837581630502</v>
          </cell>
          <cell r="CH122">
            <v>2.8519999999999999</v>
          </cell>
        </row>
        <row r="123">
          <cell r="A123" t="str">
            <v>R41849E</v>
          </cell>
          <cell r="B123"/>
          <cell r="C123">
            <v>3.0169999999999999</v>
          </cell>
          <cell r="D123">
            <v>9.2829999999999995</v>
          </cell>
          <cell r="E123">
            <v>0.153</v>
          </cell>
          <cell r="F123"/>
          <cell r="G123"/>
          <cell r="H123">
            <v>2.8260000000000001</v>
          </cell>
          <cell r="I123">
            <v>7.7140000000000004</v>
          </cell>
          <cell r="J123">
            <v>0.13900000000000001</v>
          </cell>
          <cell r="K123">
            <v>2.2330000000000001</v>
          </cell>
          <cell r="L123"/>
          <cell r="M123"/>
          <cell r="N123">
            <v>8.1479999999999997</v>
          </cell>
          <cell r="O123">
            <v>0.16</v>
          </cell>
          <cell r="P123">
            <v>2.9289999999999998</v>
          </cell>
          <cell r="Q123"/>
          <cell r="R123">
            <v>3.9049999999999998</v>
          </cell>
          <cell r="S123">
            <v>7.492</v>
          </cell>
          <cell r="T123">
            <v>0.186</v>
          </cell>
          <cell r="U123">
            <v>2.8620000000000001</v>
          </cell>
          <cell r="V123"/>
          <cell r="W123">
            <v>2.2810000000000001</v>
          </cell>
          <cell r="X123">
            <v>3.9950000000000001</v>
          </cell>
          <cell r="Y123">
            <v>0.158</v>
          </cell>
          <cell r="Z123">
            <v>2.3330000000000002</v>
          </cell>
          <cell r="AA123"/>
          <cell r="AB123"/>
          <cell r="AC123"/>
          <cell r="AD123"/>
          <cell r="AE123">
            <v>1.728</v>
          </cell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 t="str">
            <v>0</v>
          </cell>
          <cell r="BK123">
            <v>0</v>
          </cell>
          <cell r="BL123">
            <v>0</v>
          </cell>
          <cell r="BM123" t="str">
            <v/>
          </cell>
          <cell r="BN123" t="str">
            <v>0</v>
          </cell>
          <cell r="BO123" t="str">
            <v/>
          </cell>
          <cell r="BP123">
            <v>3.00725</v>
          </cell>
          <cell r="BQ123">
            <v>9.1230000000000011</v>
          </cell>
          <cell r="BR123">
            <v>6.1157500000000011</v>
          </cell>
          <cell r="BS123">
            <v>159.61426552498131</v>
          </cell>
          <cell r="BT123">
            <v>52.614271621177238</v>
          </cell>
          <cell r="BU123">
            <v>106.99999390380407</v>
          </cell>
          <cell r="BV123">
            <v>7.3263999999999996</v>
          </cell>
          <cell r="BW123">
            <v>4.22</v>
          </cell>
          <cell r="BX123">
            <v>-3.1063999999999998</v>
          </cell>
          <cell r="BY123">
            <v>65.516488316226258</v>
          </cell>
          <cell r="BZ123">
            <v>113.74407582938389</v>
          </cell>
          <cell r="CA123">
            <v>-48.22758751315763</v>
          </cell>
          <cell r="CB123">
            <v>0.15920000000000004</v>
          </cell>
          <cell r="CC123">
            <v>0.1</v>
          </cell>
          <cell r="CD123">
            <v>-5.920000000000003E-2</v>
          </cell>
          <cell r="CE123">
            <v>3015.0753768844215</v>
          </cell>
          <cell r="CF123">
            <v>4800</v>
          </cell>
          <cell r="CG123">
            <v>-1784.9246231155785</v>
          </cell>
          <cell r="CH123">
            <v>2.4170000000000003</v>
          </cell>
        </row>
        <row r="124">
          <cell r="A124" t="str">
            <v>R41867E</v>
          </cell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>
            <v>2.5870000000000002</v>
          </cell>
          <cell r="X124">
            <v>2.4039999999999999</v>
          </cell>
          <cell r="Y124">
            <v>0.16300000000000001</v>
          </cell>
          <cell r="Z124">
            <v>0.77400000000000002</v>
          </cell>
          <cell r="AA124"/>
          <cell r="AB124">
            <v>2.4750000000000001</v>
          </cell>
          <cell r="AC124">
            <v>3.0569999999999999</v>
          </cell>
          <cell r="AD124">
            <v>0.17299999999999999</v>
          </cell>
          <cell r="AE124">
            <v>1.0189999999999999</v>
          </cell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 t="str">
            <v>0</v>
          </cell>
          <cell r="BK124">
            <v>0</v>
          </cell>
          <cell r="BL124">
            <v>0</v>
          </cell>
          <cell r="BM124" t="str">
            <v/>
          </cell>
          <cell r="BN124" t="str">
            <v>0</v>
          </cell>
          <cell r="BO124" t="str">
            <v/>
          </cell>
          <cell r="BP124">
            <v>2.5310000000000001</v>
          </cell>
          <cell r="BQ124">
            <v>2.617</v>
          </cell>
          <cell r="BR124">
            <v>8.5999999999999854E-2</v>
          </cell>
          <cell r="BS124">
            <v>189.64836033188462</v>
          </cell>
          <cell r="BT124">
            <v>183.4161253343523</v>
          </cell>
          <cell r="BU124">
            <v>6.2322349975323164</v>
          </cell>
          <cell r="BV124">
            <v>2.7305000000000001</v>
          </cell>
          <cell r="BW124">
            <v>1.8359999999999999</v>
          </cell>
          <cell r="BX124">
            <v>-0.89450000000000029</v>
          </cell>
          <cell r="BY124">
            <v>175.79197949093572</v>
          </cell>
          <cell r="BZ124">
            <v>261.43790849673206</v>
          </cell>
          <cell r="CA124">
            <v>-85.645929005796347</v>
          </cell>
          <cell r="CB124">
            <v>0.16799999999999998</v>
          </cell>
          <cell r="CC124">
            <v>7.0000000000000007E-2</v>
          </cell>
          <cell r="CD124">
            <v>-9.7999999999999976E-2</v>
          </cell>
          <cell r="CE124">
            <v>2857.1428571428573</v>
          </cell>
          <cell r="CF124">
            <v>6857.1428571428569</v>
          </cell>
          <cell r="CG124">
            <v>-3999.9999999999995</v>
          </cell>
          <cell r="CH124">
            <v>0.89649999999999996</v>
          </cell>
        </row>
        <row r="125">
          <cell r="A125" t="str">
            <v>R41929EZ</v>
          </cell>
          <cell r="B125"/>
          <cell r="C125">
            <v>1.7689999999999999</v>
          </cell>
          <cell r="D125"/>
          <cell r="E125"/>
          <cell r="F125">
            <v>1.0129999999999999</v>
          </cell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>
            <v>3.8679999999999999</v>
          </cell>
          <cell r="S125">
            <v>8.0489999999999995</v>
          </cell>
          <cell r="T125">
            <v>0.28499999999999998</v>
          </cell>
          <cell r="U125">
            <v>1.1379999999999999</v>
          </cell>
          <cell r="V125"/>
          <cell r="W125">
            <v>3.2549999999999999</v>
          </cell>
          <cell r="X125">
            <v>3.5449999999999999</v>
          </cell>
          <cell r="Y125">
            <v>0.193</v>
          </cell>
          <cell r="Z125">
            <v>0.98399999999999999</v>
          </cell>
          <cell r="AA125"/>
          <cell r="AB125">
            <v>3.871</v>
          </cell>
          <cell r="AC125">
            <v>4.7519999999999998</v>
          </cell>
          <cell r="AD125">
            <v>0.155</v>
          </cell>
          <cell r="AE125">
            <v>1.3149999999999999</v>
          </cell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 t="str">
            <v>0</v>
          </cell>
          <cell r="BK125">
            <v>0</v>
          </cell>
          <cell r="BL125">
            <v>0</v>
          </cell>
          <cell r="BM125" t="str">
            <v/>
          </cell>
          <cell r="BN125" t="str">
            <v>0</v>
          </cell>
          <cell r="BO125" t="str">
            <v/>
          </cell>
          <cell r="BP125">
            <v>3.19075</v>
          </cell>
          <cell r="BQ125">
            <v>4.17</v>
          </cell>
          <cell r="BR125">
            <v>0.97924999999999995</v>
          </cell>
          <cell r="BS125">
            <v>150.43485074042152</v>
          </cell>
          <cell r="BT125">
            <v>115.10791366906474</v>
          </cell>
          <cell r="BU125">
            <v>35.326937071356781</v>
          </cell>
          <cell r="BV125">
            <v>5.448666666666667</v>
          </cell>
          <cell r="BW125">
            <v>3.8000000000000003</v>
          </cell>
          <cell r="BX125">
            <v>-1.6486666666666667</v>
          </cell>
          <cell r="BY125">
            <v>88.094946775969646</v>
          </cell>
          <cell r="BZ125">
            <v>126.31578947368421</v>
          </cell>
          <cell r="CA125">
            <v>-38.220842697714559</v>
          </cell>
          <cell r="CB125">
            <v>0.21099999999999999</v>
          </cell>
          <cell r="CC125">
            <v>0.1</v>
          </cell>
          <cell r="CD125">
            <v>-0.11099999999999999</v>
          </cell>
          <cell r="CE125">
            <v>2274.8815165876777</v>
          </cell>
          <cell r="CF125">
            <v>4800</v>
          </cell>
          <cell r="CG125">
            <v>-2525.1184834123223</v>
          </cell>
          <cell r="CH125">
            <v>1.1124999999999998</v>
          </cell>
        </row>
        <row r="126">
          <cell r="A126" t="str">
            <v>R42097E-A</v>
          </cell>
          <cell r="B126"/>
          <cell r="C126"/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>
            <v>8.25</v>
          </cell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 t="str">
            <v>0</v>
          </cell>
          <cell r="BK126">
            <v>0</v>
          </cell>
          <cell r="BL126">
            <v>0</v>
          </cell>
          <cell r="BM126" t="str">
            <v/>
          </cell>
          <cell r="BN126" t="str">
            <v>0</v>
          </cell>
          <cell r="BO126" t="str">
            <v/>
          </cell>
          <cell r="BP126">
            <v>8.25</v>
          </cell>
          <cell r="BQ126">
            <v>4.91</v>
          </cell>
          <cell r="BR126">
            <v>-3.34</v>
          </cell>
          <cell r="BS126">
            <v>58.18181818181818</v>
          </cell>
          <cell r="BT126">
            <v>97.759674134419555</v>
          </cell>
          <cell r="BU126">
            <v>-39.577855952601375</v>
          </cell>
          <cell r="BV126" t="str">
            <v>0</v>
          </cell>
          <cell r="BW126">
            <v>4.4800000000000004</v>
          </cell>
          <cell r="BX126">
            <v>4.4800000000000004</v>
          </cell>
          <cell r="BY126" t="str">
            <v/>
          </cell>
          <cell r="BZ126">
            <v>107.14285714285714</v>
          </cell>
          <cell r="CA126" t="str">
            <v/>
          </cell>
          <cell r="CB126" t="str">
            <v>0</v>
          </cell>
          <cell r="CC126">
            <v>0.1</v>
          </cell>
          <cell r="CD126">
            <v>0.1</v>
          </cell>
          <cell r="CE126" t="str">
            <v/>
          </cell>
          <cell r="CF126">
            <v>4800</v>
          </cell>
          <cell r="CG126" t="str">
            <v/>
          </cell>
          <cell r="CH126" t="str">
            <v>0</v>
          </cell>
        </row>
        <row r="127">
          <cell r="A127" t="str">
            <v>R42097EZ-A</v>
          </cell>
          <cell r="B127"/>
          <cell r="C127"/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>
            <v>6.8579999999999997</v>
          </cell>
          <cell r="X127">
            <v>3.1469999999999998</v>
          </cell>
          <cell r="Y127">
            <v>0.16300000000000001</v>
          </cell>
          <cell r="Z127">
            <v>1.33</v>
          </cell>
          <cell r="AA127"/>
          <cell r="AB127"/>
          <cell r="AC127">
            <v>4.9169999999999998</v>
          </cell>
          <cell r="AD127">
            <v>0.189</v>
          </cell>
          <cell r="AE127">
            <v>2.0510000000000002</v>
          </cell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 t="str">
            <v>0</v>
          </cell>
          <cell r="BK127">
            <v>0</v>
          </cell>
          <cell r="BL127">
            <v>0</v>
          </cell>
          <cell r="BM127" t="str">
            <v/>
          </cell>
          <cell r="BN127" t="str">
            <v>0</v>
          </cell>
          <cell r="BO127" t="str">
            <v/>
          </cell>
          <cell r="BP127">
            <v>6.8579999999999997</v>
          </cell>
          <cell r="BQ127">
            <v>4.91</v>
          </cell>
          <cell r="BR127">
            <v>-1.9479999999999995</v>
          </cell>
          <cell r="BS127">
            <v>69.9912510936133</v>
          </cell>
          <cell r="BT127">
            <v>97.759674134419555</v>
          </cell>
          <cell r="BU127">
            <v>-27.768423040806255</v>
          </cell>
          <cell r="BV127">
            <v>4.032</v>
          </cell>
          <cell r="BW127">
            <v>4.4800000000000004</v>
          </cell>
          <cell r="BX127">
            <v>0.4480000000000004</v>
          </cell>
          <cell r="BY127">
            <v>119.04761904761905</v>
          </cell>
          <cell r="BZ127">
            <v>107.14285714285714</v>
          </cell>
          <cell r="CA127">
            <v>11.904761904761912</v>
          </cell>
          <cell r="CB127">
            <v>0.17599999999999999</v>
          </cell>
          <cell r="CC127">
            <v>0.1</v>
          </cell>
          <cell r="CD127">
            <v>-7.5999999999999984E-2</v>
          </cell>
          <cell r="CE127">
            <v>2727.2727272727275</v>
          </cell>
          <cell r="CF127">
            <v>4800</v>
          </cell>
          <cell r="CG127">
            <v>-2072.7272727272725</v>
          </cell>
          <cell r="CH127">
            <v>1.6905000000000001</v>
          </cell>
        </row>
        <row r="128">
          <cell r="A128" t="str">
            <v>R42176EZ</v>
          </cell>
          <cell r="B128"/>
          <cell r="C128"/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>
            <v>4</v>
          </cell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/>
          <cell r="CD128"/>
          <cell r="CE128"/>
          <cell r="CF128"/>
          <cell r="CG128"/>
          <cell r="CH128"/>
        </row>
        <row r="129">
          <cell r="A129" t="str">
            <v>R42312EZ</v>
          </cell>
          <cell r="B129"/>
          <cell r="C129">
            <v>7.194</v>
          </cell>
          <cell r="D129">
            <v>2.9319999999999999</v>
          </cell>
          <cell r="E129">
            <v>0.16500000000000001</v>
          </cell>
          <cell r="F129">
            <v>1.2030000000000001</v>
          </cell>
          <cell r="G129"/>
          <cell r="H129">
            <v>7.2149999999999999</v>
          </cell>
          <cell r="I129">
            <v>2.758</v>
          </cell>
          <cell r="J129">
            <v>0.191</v>
          </cell>
          <cell r="K129">
            <v>1.127</v>
          </cell>
          <cell r="L129"/>
          <cell r="M129"/>
          <cell r="N129"/>
          <cell r="O129"/>
          <cell r="P129">
            <v>1.92</v>
          </cell>
          <cell r="Q129"/>
          <cell r="R129"/>
          <cell r="S129"/>
          <cell r="T129"/>
          <cell r="U129"/>
          <cell r="V129"/>
          <cell r="W129">
            <v>9.3810000000000002</v>
          </cell>
          <cell r="X129">
            <v>1.923</v>
          </cell>
          <cell r="Y129">
            <v>0.189</v>
          </cell>
          <cell r="Z129">
            <v>1.3759999999999999</v>
          </cell>
          <cell r="AA129"/>
          <cell r="AB129">
            <v>8.5860000000000003</v>
          </cell>
          <cell r="AC129">
            <v>3.782</v>
          </cell>
          <cell r="AD129">
            <v>0.18099999999999999</v>
          </cell>
          <cell r="AE129">
            <v>1.794</v>
          </cell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 t="str">
            <v>0</v>
          </cell>
          <cell r="BK129">
            <v>0</v>
          </cell>
          <cell r="BL129">
            <v>0</v>
          </cell>
          <cell r="BM129" t="str">
            <v/>
          </cell>
          <cell r="BN129" t="str">
            <v>0</v>
          </cell>
          <cell r="BO129" t="str">
            <v/>
          </cell>
          <cell r="BP129">
            <v>8.0939999999999994</v>
          </cell>
          <cell r="BQ129">
            <v>9.1159999999999997</v>
          </cell>
          <cell r="BR129">
            <v>1.0220000000000002</v>
          </cell>
          <cell r="BS129">
            <v>59.303187546330619</v>
          </cell>
          <cell r="BT129">
            <v>52.654673102237822</v>
          </cell>
          <cell r="BU129">
            <v>6.6485144440927968</v>
          </cell>
          <cell r="BV129">
            <v>2.8487499999999999</v>
          </cell>
          <cell r="BW129">
            <v>2.5709999999999997</v>
          </cell>
          <cell r="BX129">
            <v>-0.27775000000000016</v>
          </cell>
          <cell r="BY129">
            <v>168.49495392716105</v>
          </cell>
          <cell r="BZ129">
            <v>186.69778296382734</v>
          </cell>
          <cell r="CA129">
            <v>-18.202829036666287</v>
          </cell>
          <cell r="CB129">
            <v>0.18149999999999999</v>
          </cell>
          <cell r="CC129">
            <v>6.2E-2</v>
          </cell>
          <cell r="CD129">
            <v>-0.1195</v>
          </cell>
          <cell r="CE129">
            <v>2644.6280991735539</v>
          </cell>
          <cell r="CF129">
            <v>7741.9354838709678</v>
          </cell>
          <cell r="CG129">
            <v>-5097.3073846974139</v>
          </cell>
          <cell r="CH129">
            <v>1.484</v>
          </cell>
        </row>
        <row r="130">
          <cell r="A130" t="str">
            <v>R42343EZ</v>
          </cell>
          <cell r="B130"/>
          <cell r="C130">
            <v>4.3689999999999998</v>
          </cell>
          <cell r="D130">
            <v>4.5149999999999997</v>
          </cell>
          <cell r="E130">
            <v>0.17599999999999999</v>
          </cell>
          <cell r="F130">
            <v>4.5709999999999997</v>
          </cell>
          <cell r="G130"/>
          <cell r="H130"/>
          <cell r="I130">
            <v>12</v>
          </cell>
          <cell r="J130">
            <v>0.2</v>
          </cell>
          <cell r="K130">
            <v>3</v>
          </cell>
          <cell r="L130"/>
          <cell r="M130"/>
          <cell r="N130"/>
          <cell r="O130"/>
          <cell r="P130"/>
          <cell r="Q130"/>
          <cell r="R130">
            <v>4.5739999999999998</v>
          </cell>
          <cell r="S130">
            <v>3.3460000000000001</v>
          </cell>
          <cell r="T130">
            <v>0.16800000000000001</v>
          </cell>
          <cell r="U130">
            <v>2.742</v>
          </cell>
          <cell r="V130"/>
          <cell r="W130">
            <v>5.2480000000000002</v>
          </cell>
          <cell r="X130">
            <v>2.323</v>
          </cell>
          <cell r="Y130">
            <v>0.16200000000000001</v>
          </cell>
          <cell r="Z130">
            <v>2.516</v>
          </cell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 t="str">
            <v>0</v>
          </cell>
          <cell r="BK130">
            <v>0</v>
          </cell>
          <cell r="BL130">
            <v>0</v>
          </cell>
          <cell r="BM130" t="str">
            <v/>
          </cell>
          <cell r="BN130" t="str">
            <v>0</v>
          </cell>
          <cell r="BO130" t="str">
            <v/>
          </cell>
          <cell r="BP130">
            <v>4.7303333333333333</v>
          </cell>
          <cell r="BQ130">
            <v>4.1500000000000004</v>
          </cell>
          <cell r="BR130">
            <v>-0.58033333333333292</v>
          </cell>
          <cell r="BS130">
            <v>101.4727644281587</v>
          </cell>
          <cell r="BT130">
            <v>115.66265060240963</v>
          </cell>
          <cell r="BU130">
            <v>-14.18988617425093</v>
          </cell>
          <cell r="BV130">
            <v>5.5460000000000003</v>
          </cell>
          <cell r="BW130">
            <v>3.37</v>
          </cell>
          <cell r="BX130">
            <v>-2.1760000000000002</v>
          </cell>
          <cell r="BY130">
            <v>86.548864046159395</v>
          </cell>
          <cell r="BZ130">
            <v>142.43323442136497</v>
          </cell>
          <cell r="CA130">
            <v>-55.884370375205577</v>
          </cell>
          <cell r="CB130">
            <v>0.17650000000000002</v>
          </cell>
          <cell r="CC130">
            <v>0.1</v>
          </cell>
          <cell r="CD130">
            <v>-7.6500000000000012E-2</v>
          </cell>
          <cell r="CE130">
            <v>2719.5467422096312</v>
          </cell>
          <cell r="CF130">
            <v>4800</v>
          </cell>
          <cell r="CG130">
            <v>-2080.4532577903688</v>
          </cell>
          <cell r="CH130">
            <v>3.2072499999999997</v>
          </cell>
        </row>
        <row r="131">
          <cell r="A131" t="str">
            <v>R42356EZ</v>
          </cell>
          <cell r="B131"/>
          <cell r="C131"/>
          <cell r="D131"/>
          <cell r="E131"/>
          <cell r="F131"/>
          <cell r="G131"/>
          <cell r="H131"/>
          <cell r="I131"/>
          <cell r="J131"/>
          <cell r="K131"/>
          <cell r="L131"/>
          <cell r="M131">
            <v>7.9459999999999997</v>
          </cell>
          <cell r="N131">
            <v>2.75</v>
          </cell>
          <cell r="O131">
            <v>0.16200000000000001</v>
          </cell>
          <cell r="P131"/>
          <cell r="Q131"/>
          <cell r="R131">
            <v>7.6369999999999996</v>
          </cell>
          <cell r="S131">
            <v>3.085</v>
          </cell>
          <cell r="T131">
            <v>0.14899999999999999</v>
          </cell>
          <cell r="U131">
            <v>1.2529999999999999</v>
          </cell>
          <cell r="V131"/>
          <cell r="W131">
            <v>11.678000000000001</v>
          </cell>
          <cell r="X131">
            <v>2.6619999999999999</v>
          </cell>
          <cell r="Y131">
            <v>0.16</v>
          </cell>
          <cell r="Z131">
            <v>1.248</v>
          </cell>
          <cell r="AA131"/>
          <cell r="AB131">
            <v>17.059000000000001</v>
          </cell>
          <cell r="AC131">
            <v>5.5389999999999997</v>
          </cell>
          <cell r="AD131">
            <v>0.192</v>
          </cell>
          <cell r="AE131">
            <v>1.4690000000000001</v>
          </cell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 t="str">
            <v>0</v>
          </cell>
          <cell r="BK131">
            <v>0</v>
          </cell>
          <cell r="BL131">
            <v>0</v>
          </cell>
          <cell r="BM131" t="str">
            <v/>
          </cell>
          <cell r="BN131" t="str">
            <v>0</v>
          </cell>
          <cell r="BO131" t="str">
            <v/>
          </cell>
          <cell r="BP131">
            <v>11.08</v>
          </cell>
          <cell r="BQ131">
            <v>10.073</v>
          </cell>
          <cell r="BR131">
            <v>-1.0069999999999997</v>
          </cell>
          <cell r="BS131">
            <v>43.321299638989167</v>
          </cell>
          <cell r="BT131">
            <v>47.652139382507691</v>
          </cell>
          <cell r="BU131">
            <v>-4.3308397435185242</v>
          </cell>
          <cell r="BV131">
            <v>3.5089999999999999</v>
          </cell>
          <cell r="BW131">
            <v>3.67</v>
          </cell>
          <cell r="BX131">
            <v>0.16100000000000003</v>
          </cell>
          <cell r="BY131">
            <v>136.79110857794242</v>
          </cell>
          <cell r="BZ131">
            <v>130.79019073569484</v>
          </cell>
          <cell r="CA131">
            <v>6.0009178422475884</v>
          </cell>
          <cell r="CB131">
            <v>0.16575000000000001</v>
          </cell>
          <cell r="CC131">
            <v>0.1</v>
          </cell>
          <cell r="CD131">
            <v>-6.5750000000000003E-2</v>
          </cell>
          <cell r="CE131">
            <v>2895.9276018099545</v>
          </cell>
          <cell r="CF131">
            <v>4800</v>
          </cell>
          <cell r="CG131">
            <v>-1904.0723981900455</v>
          </cell>
          <cell r="CH131">
            <v>1.3233333333333333</v>
          </cell>
        </row>
        <row r="132">
          <cell r="A132" t="str">
            <v>R42376EZ</v>
          </cell>
          <cell r="B132"/>
          <cell r="C132">
            <v>7.07</v>
          </cell>
          <cell r="D132">
            <v>3.5059999999999998</v>
          </cell>
          <cell r="E132">
            <v>0.16600000000000001</v>
          </cell>
          <cell r="F132">
            <v>1.415</v>
          </cell>
          <cell r="G132"/>
          <cell r="H132"/>
          <cell r="I132"/>
          <cell r="J132"/>
          <cell r="K132"/>
          <cell r="L132"/>
          <cell r="M132">
            <v>7.2750000000000004</v>
          </cell>
          <cell r="N132">
            <v>3.3330000000000002</v>
          </cell>
          <cell r="O132">
            <v>0.14799999999999999</v>
          </cell>
          <cell r="P132">
            <v>1.5029999999999999</v>
          </cell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>
            <v>9.1140000000000008</v>
          </cell>
          <cell r="AC132">
            <v>3.242</v>
          </cell>
          <cell r="AD132">
            <v>0.18</v>
          </cell>
          <cell r="AE132">
            <v>1.363</v>
          </cell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 t="str">
            <v>0</v>
          </cell>
          <cell r="BK132">
            <v>0</v>
          </cell>
          <cell r="BL132">
            <v>0</v>
          </cell>
          <cell r="BM132" t="str">
            <v/>
          </cell>
          <cell r="BN132" t="str">
            <v>0</v>
          </cell>
          <cell r="BO132" t="str">
            <v/>
          </cell>
          <cell r="BP132">
            <v>7.8196666666666674</v>
          </cell>
          <cell r="BQ132">
            <v>10.483000000000001</v>
          </cell>
          <cell r="BR132">
            <v>2.6633333333333331</v>
          </cell>
          <cell r="BS132">
            <v>61.383690694402993</v>
          </cell>
          <cell r="BT132">
            <v>45.788419345607174</v>
          </cell>
          <cell r="BU132">
            <v>15.595271348795819</v>
          </cell>
          <cell r="BV132">
            <v>3.3603333333333332</v>
          </cell>
          <cell r="BW132">
            <v>3.48</v>
          </cell>
          <cell r="BX132">
            <v>0.11966666666666681</v>
          </cell>
          <cell r="BY132">
            <v>142.84297192738816</v>
          </cell>
          <cell r="BZ132">
            <v>137.93103448275863</v>
          </cell>
          <cell r="CA132">
            <v>4.9119374446295296</v>
          </cell>
          <cell r="CB132">
            <v>0.16466666666666666</v>
          </cell>
          <cell r="CC132">
            <v>0.1</v>
          </cell>
          <cell r="CD132">
            <v>-6.466666666666665E-2</v>
          </cell>
          <cell r="CE132">
            <v>2914.9797570850205</v>
          </cell>
          <cell r="CF132">
            <v>4800</v>
          </cell>
          <cell r="CG132">
            <v>-1885.0202429149795</v>
          </cell>
          <cell r="CH132">
            <v>1.4270000000000003</v>
          </cell>
        </row>
        <row r="133">
          <cell r="A133" t="str">
            <v>R42425EZ</v>
          </cell>
          <cell r="B133"/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>
            <v>8.2059999999999995</v>
          </cell>
          <cell r="S133">
            <v>4.42</v>
          </cell>
          <cell r="T133">
            <v>0.18</v>
          </cell>
          <cell r="U133">
            <v>1.5660000000000001</v>
          </cell>
          <cell r="V133"/>
          <cell r="W133">
            <v>10.988</v>
          </cell>
          <cell r="X133">
            <v>3.6259999999999999</v>
          </cell>
          <cell r="Y133">
            <v>0.193</v>
          </cell>
          <cell r="Z133">
            <v>1.2270000000000001</v>
          </cell>
          <cell r="AA133"/>
          <cell r="AB133">
            <v>10.039</v>
          </cell>
          <cell r="AC133">
            <v>3.8250000000000002</v>
          </cell>
          <cell r="AD133">
            <v>0.19500000000000001</v>
          </cell>
          <cell r="AE133">
            <v>1.29</v>
          </cell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 t="str">
            <v>0</v>
          </cell>
          <cell r="BK133">
            <v>0</v>
          </cell>
          <cell r="BL133">
            <v>0</v>
          </cell>
          <cell r="BM133" t="str">
            <v/>
          </cell>
          <cell r="BN133" t="str">
            <v>0</v>
          </cell>
          <cell r="BO133" t="str">
            <v/>
          </cell>
          <cell r="BP133">
            <v>9.7443333333333317</v>
          </cell>
          <cell r="BQ133">
            <v>11.797000000000001</v>
          </cell>
          <cell r="BR133">
            <v>2.0526666666666689</v>
          </cell>
          <cell r="BS133">
            <v>49.259398624841793</v>
          </cell>
          <cell r="BT133">
            <v>40.688310587437485</v>
          </cell>
          <cell r="BU133">
            <v>8.5710880374043086</v>
          </cell>
          <cell r="BV133">
            <v>3.9569999999999994</v>
          </cell>
          <cell r="BW133">
            <v>4.4090000000000007</v>
          </cell>
          <cell r="BX133">
            <v>0.45200000000000129</v>
          </cell>
          <cell r="BY133">
            <v>121.30401819560275</v>
          </cell>
          <cell r="BZ133">
            <v>108.86822408709456</v>
          </cell>
          <cell r="CA133">
            <v>12.43579410850819</v>
          </cell>
          <cell r="CB133">
            <v>0.18933333333333335</v>
          </cell>
          <cell r="CC133">
            <v>0.12</v>
          </cell>
          <cell r="CD133">
            <v>-6.9333333333333358E-2</v>
          </cell>
          <cell r="CE133">
            <v>2535.2112676056336</v>
          </cell>
          <cell r="CF133">
            <v>4000</v>
          </cell>
          <cell r="CG133">
            <v>-1464.7887323943664</v>
          </cell>
          <cell r="CH133">
            <v>1.361</v>
          </cell>
        </row>
        <row r="134">
          <cell r="A134" t="str">
            <v>RD10-0013R1</v>
          </cell>
          <cell r="B134"/>
          <cell r="C134">
            <v>15.798</v>
          </cell>
          <cell r="D134">
            <v>22.498000000000001</v>
          </cell>
          <cell r="E134">
            <v>0.17399999999999999</v>
          </cell>
          <cell r="F134">
            <v>6.1429999999999998</v>
          </cell>
          <cell r="G134"/>
          <cell r="H134">
            <v>12.973000000000001</v>
          </cell>
          <cell r="I134">
            <v>14.268000000000001</v>
          </cell>
          <cell r="J134">
            <v>0.16500000000000001</v>
          </cell>
          <cell r="K134">
            <v>6.8259999999999996</v>
          </cell>
          <cell r="L134"/>
          <cell r="M134">
            <v>14.35</v>
          </cell>
          <cell r="N134">
            <v>7.3479999999999999</v>
          </cell>
          <cell r="O134">
            <v>0.17</v>
          </cell>
          <cell r="P134">
            <v>5.5129999999999999</v>
          </cell>
          <cell r="Q134"/>
          <cell r="R134">
            <v>11.163</v>
          </cell>
          <cell r="S134">
            <v>11.124000000000001</v>
          </cell>
          <cell r="T134">
            <v>0.20599999999999999</v>
          </cell>
          <cell r="U134">
            <v>8.2789999999999999</v>
          </cell>
          <cell r="V134"/>
          <cell r="W134">
            <v>11.781000000000001</v>
          </cell>
          <cell r="X134">
            <v>14.71</v>
          </cell>
          <cell r="Y134">
            <v>0.17799999999999999</v>
          </cell>
          <cell r="Z134">
            <v>6.16</v>
          </cell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 t="str">
            <v>0</v>
          </cell>
          <cell r="BK134">
            <v>0</v>
          </cell>
          <cell r="BL134">
            <v>0</v>
          </cell>
          <cell r="BM134" t="str">
            <v/>
          </cell>
          <cell r="BN134" t="str">
            <v>0</v>
          </cell>
          <cell r="BO134" t="str">
            <v/>
          </cell>
          <cell r="BP134">
            <v>13.213000000000003</v>
          </cell>
          <cell r="BQ134">
            <v>15.771000000000001</v>
          </cell>
          <cell r="BR134">
            <v>2.5579999999999981</v>
          </cell>
          <cell r="BS134">
            <v>36.327858926814493</v>
          </cell>
          <cell r="BT134">
            <v>30.435609663306067</v>
          </cell>
          <cell r="BU134">
            <v>5.8922492635084254</v>
          </cell>
          <cell r="BV134">
            <v>13.989600000000001</v>
          </cell>
          <cell r="BW134">
            <v>6.1609999999999996</v>
          </cell>
          <cell r="BX134">
            <v>-7.8286000000000016</v>
          </cell>
          <cell r="BY134">
            <v>34.311202607651396</v>
          </cell>
          <cell r="BZ134">
            <v>77.90943028729103</v>
          </cell>
          <cell r="CA134">
            <v>-43.598227679639635</v>
          </cell>
          <cell r="CB134">
            <v>0.17860000000000001</v>
          </cell>
          <cell r="CC134">
            <v>8.2000000000000003E-2</v>
          </cell>
          <cell r="CD134">
            <v>-9.6600000000000005E-2</v>
          </cell>
          <cell r="CE134">
            <v>2687.5699888017916</v>
          </cell>
          <cell r="CF134">
            <v>5853.6585365853653</v>
          </cell>
          <cell r="CG134">
            <v>-3166.0885477835736</v>
          </cell>
          <cell r="CH134">
            <v>6.5842000000000001</v>
          </cell>
        </row>
        <row r="135">
          <cell r="A135" t="str">
            <v>RRMFP147</v>
          </cell>
          <cell r="B135"/>
          <cell r="C135"/>
          <cell r="D135"/>
          <cell r="E135"/>
          <cell r="F135"/>
          <cell r="G135"/>
          <cell r="H135">
            <v>29.111000000000001</v>
          </cell>
          <cell r="I135"/>
          <cell r="J135"/>
          <cell r="K135"/>
          <cell r="L135"/>
          <cell r="M135">
            <v>11.391999999999999</v>
          </cell>
          <cell r="N135"/>
          <cell r="O135"/>
          <cell r="P135"/>
          <cell r="Q135"/>
          <cell r="R135">
            <v>4.766</v>
          </cell>
          <cell r="S135">
            <v>2.0790000000000002</v>
          </cell>
          <cell r="T135">
            <v>0.16700000000000001</v>
          </cell>
          <cell r="U135">
            <v>0.85799999999999998</v>
          </cell>
          <cell r="V135"/>
          <cell r="W135">
            <v>7.7279999999999998</v>
          </cell>
          <cell r="X135">
            <v>2.6629999999999998</v>
          </cell>
          <cell r="Y135">
            <v>0.19400000000000001</v>
          </cell>
          <cell r="Z135">
            <v>1.167</v>
          </cell>
          <cell r="AA135"/>
          <cell r="AB135">
            <v>6.4870000000000001</v>
          </cell>
          <cell r="AC135">
            <v>3.0190000000000001</v>
          </cell>
          <cell r="AD135">
            <v>0.187</v>
          </cell>
          <cell r="AE135">
            <v>0.96399999999999997</v>
          </cell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 t="str">
            <v>0</v>
          </cell>
          <cell r="BK135">
            <v>0</v>
          </cell>
          <cell r="BL135">
            <v>0</v>
          </cell>
          <cell r="BM135" t="str">
            <v/>
          </cell>
          <cell r="BN135" t="str">
            <v>0</v>
          </cell>
          <cell r="BO135" t="str">
            <v/>
          </cell>
          <cell r="BP135">
            <v>11.896800000000001</v>
          </cell>
          <cell r="BQ135">
            <v>3.75</v>
          </cell>
          <cell r="BR135">
            <v>-8.1468000000000007</v>
          </cell>
          <cell r="BS135">
            <v>40.346984062941296</v>
          </cell>
          <cell r="BT135">
            <v>128</v>
          </cell>
          <cell r="BU135">
            <v>-87.653015937058711</v>
          </cell>
          <cell r="BV135">
            <v>2.5870000000000002</v>
          </cell>
          <cell r="BW135">
            <v>1.94</v>
          </cell>
          <cell r="BX135">
            <v>-0.64700000000000024</v>
          </cell>
          <cell r="BY135">
            <v>185.54310011596442</v>
          </cell>
          <cell r="BZ135">
            <v>247.42268041237114</v>
          </cell>
          <cell r="CA135">
            <v>-61.879580296406715</v>
          </cell>
          <cell r="CB135">
            <v>0.18266666666666667</v>
          </cell>
          <cell r="CC135">
            <v>0</v>
          </cell>
          <cell r="CD135">
            <v>-0.18266666666666667</v>
          </cell>
          <cell r="CE135">
            <v>2627.737226277372</v>
          </cell>
          <cell r="CF135" t="str">
            <v>0</v>
          </cell>
          <cell r="CG135">
            <v>2627.737226277372</v>
          </cell>
          <cell r="CH135">
            <v>0.99633333333333329</v>
          </cell>
        </row>
        <row r="136">
          <cell r="A136" t="str">
            <v>RTRNPA161DRZZ</v>
          </cell>
          <cell r="B136"/>
          <cell r="C136"/>
          <cell r="D136"/>
          <cell r="E136"/>
          <cell r="F136"/>
          <cell r="G136"/>
          <cell r="H136">
            <v>2.7970000000000002</v>
          </cell>
          <cell r="I136"/>
          <cell r="J136"/>
          <cell r="K136"/>
          <cell r="L136"/>
          <cell r="M136">
            <v>3.84</v>
          </cell>
          <cell r="N136">
            <v>6.7569999999999997</v>
          </cell>
          <cell r="O136">
            <v>0.14399999999999999</v>
          </cell>
          <cell r="P136">
            <v>1.25</v>
          </cell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 t="str">
            <v>0</v>
          </cell>
          <cell r="BK136">
            <v>0</v>
          </cell>
          <cell r="BL136">
            <v>0</v>
          </cell>
          <cell r="BM136" t="str">
            <v/>
          </cell>
          <cell r="BN136" t="str">
            <v>0</v>
          </cell>
          <cell r="BO136" t="str">
            <v/>
          </cell>
          <cell r="BP136">
            <v>3.3185000000000002</v>
          </cell>
          <cell r="BQ136">
            <v>4.1399999999999997</v>
          </cell>
          <cell r="BR136">
            <v>0.82149999999999945</v>
          </cell>
          <cell r="BS136">
            <v>144.64366430616241</v>
          </cell>
          <cell r="BT136">
            <v>115.94202898550725</v>
          </cell>
          <cell r="BU136">
            <v>28.701635320655157</v>
          </cell>
          <cell r="BV136">
            <v>6.7569999999999997</v>
          </cell>
          <cell r="BW136">
            <v>5.2889999999999997</v>
          </cell>
          <cell r="BX136">
            <v>-1.468</v>
          </cell>
          <cell r="BY136">
            <v>71.037442652064527</v>
          </cell>
          <cell r="BZ136">
            <v>90.754395916052189</v>
          </cell>
          <cell r="CA136">
            <v>-19.716953263987662</v>
          </cell>
          <cell r="CB136">
            <v>0.14399999999999999</v>
          </cell>
          <cell r="CC136">
            <v>0.13100000000000001</v>
          </cell>
          <cell r="CD136">
            <v>-1.2999999999999984E-2</v>
          </cell>
          <cell r="CE136">
            <v>3333.3333333333335</v>
          </cell>
          <cell r="CF136">
            <v>3664.1221374045799</v>
          </cell>
          <cell r="CG136">
            <v>-330.78880407124643</v>
          </cell>
          <cell r="CH136">
            <v>1.25</v>
          </cell>
        </row>
        <row r="137">
          <cell r="A137" t="str">
            <v>RTRNPA162DRZZ</v>
          </cell>
          <cell r="B137"/>
          <cell r="C137">
            <v>3.254</v>
          </cell>
          <cell r="D137">
            <v>4.1849999999999996</v>
          </cell>
          <cell r="E137">
            <v>0.152</v>
          </cell>
          <cell r="F137"/>
          <cell r="G137"/>
          <cell r="H137">
            <v>3.1890000000000001</v>
          </cell>
          <cell r="I137">
            <v>6.4160000000000004</v>
          </cell>
          <cell r="J137">
            <v>0.14199999999999999</v>
          </cell>
          <cell r="K137">
            <v>1.3759999999999999</v>
          </cell>
          <cell r="L137"/>
          <cell r="M137">
            <v>3.5169999999999999</v>
          </cell>
          <cell r="N137">
            <v>5.4589999999999996</v>
          </cell>
          <cell r="O137">
            <v>0.16500000000000001</v>
          </cell>
          <cell r="P137">
            <v>1.2110000000000001</v>
          </cell>
          <cell r="Q137"/>
          <cell r="R137">
            <v>4.1790000000000003</v>
          </cell>
          <cell r="S137">
            <v>1.667</v>
          </cell>
          <cell r="T137">
            <v>0.16700000000000001</v>
          </cell>
          <cell r="U137">
            <v>3.75</v>
          </cell>
          <cell r="V137"/>
          <cell r="W137"/>
          <cell r="X137"/>
          <cell r="Y137"/>
          <cell r="Z137"/>
          <cell r="AA137"/>
          <cell r="AB137">
            <v>3.2469999999999999</v>
          </cell>
          <cell r="AC137">
            <v>3.4929999999999999</v>
          </cell>
          <cell r="AD137">
            <v>0.16700000000000001</v>
          </cell>
          <cell r="AE137">
            <v>1.4259999999999999</v>
          </cell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 t="str">
            <v>0</v>
          </cell>
          <cell r="BK137">
            <v>0</v>
          </cell>
          <cell r="BL137">
            <v>0</v>
          </cell>
          <cell r="BM137" t="str">
            <v/>
          </cell>
          <cell r="BN137" t="str">
            <v>0</v>
          </cell>
          <cell r="BO137" t="str">
            <v/>
          </cell>
          <cell r="BP137">
            <v>3.4771999999999998</v>
          </cell>
          <cell r="BQ137">
            <v>4.4279999999999999</v>
          </cell>
          <cell r="BR137">
            <v>0.95080000000000009</v>
          </cell>
          <cell r="BS137">
            <v>138.04210284136661</v>
          </cell>
          <cell r="BT137">
            <v>108.40108401084011</v>
          </cell>
          <cell r="BU137">
            <v>29.641018830526505</v>
          </cell>
          <cell r="BV137">
            <v>4.2439999999999998</v>
          </cell>
          <cell r="BW137">
            <v>4.6459999999999999</v>
          </cell>
          <cell r="BX137">
            <v>0.40200000000000014</v>
          </cell>
          <cell r="BY137">
            <v>113.10084825636193</v>
          </cell>
          <cell r="BZ137">
            <v>103.31467929401636</v>
          </cell>
          <cell r="CA137">
            <v>9.7861689623455703</v>
          </cell>
          <cell r="CB137">
            <v>0.15860000000000002</v>
          </cell>
          <cell r="CC137">
            <v>0.115</v>
          </cell>
          <cell r="CD137">
            <v>-4.3600000000000014E-2</v>
          </cell>
          <cell r="CE137">
            <v>3026.481715006305</v>
          </cell>
          <cell r="CF137">
            <v>4173.913043478261</v>
          </cell>
          <cell r="CG137">
            <v>-1147.431328471956</v>
          </cell>
          <cell r="CH137">
            <v>1.94075</v>
          </cell>
        </row>
        <row r="138">
          <cell r="A138" t="str">
            <v>RTRNWA008DRZZ</v>
          </cell>
          <cell r="B138"/>
          <cell r="C138"/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>
            <v>4.9320000000000004</v>
          </cell>
          <cell r="AC138">
            <v>2.69</v>
          </cell>
          <cell r="AD138">
            <v>0.24099999999999999</v>
          </cell>
          <cell r="AE138">
            <v>2.4660000000000002</v>
          </cell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  <cell r="BZ138"/>
          <cell r="CA138"/>
          <cell r="CB138"/>
          <cell r="CC138"/>
          <cell r="CD138"/>
          <cell r="CE138"/>
          <cell r="CF138"/>
          <cell r="CG138"/>
          <cell r="CH138"/>
        </row>
        <row r="139">
          <cell r="A139" t="str">
            <v>SSA554A482</v>
          </cell>
          <cell r="B139"/>
          <cell r="C139"/>
          <cell r="D139"/>
          <cell r="E139"/>
          <cell r="F139"/>
          <cell r="G139"/>
          <cell r="H139">
            <v>7.149</v>
          </cell>
          <cell r="I139">
            <v>3.8410000000000002</v>
          </cell>
          <cell r="J139">
            <v>0.14099999999999999</v>
          </cell>
          <cell r="K139">
            <v>1.333</v>
          </cell>
          <cell r="L139"/>
          <cell r="M139">
            <v>6.5650000000000004</v>
          </cell>
          <cell r="N139">
            <v>2.79</v>
          </cell>
          <cell r="O139">
            <v>0.16600000000000001</v>
          </cell>
          <cell r="P139">
            <v>0.86099999999999999</v>
          </cell>
          <cell r="Q139"/>
          <cell r="R139">
            <v>5.2329999999999997</v>
          </cell>
          <cell r="S139">
            <v>1.46</v>
          </cell>
          <cell r="T139">
            <v>0.17899999999999999</v>
          </cell>
          <cell r="U139">
            <v>0.98199999999999998</v>
          </cell>
          <cell r="V139"/>
          <cell r="W139">
            <v>5.375</v>
          </cell>
          <cell r="X139">
            <v>1.7490000000000001</v>
          </cell>
          <cell r="Y139">
            <v>0.17599999999999999</v>
          </cell>
          <cell r="Z139">
            <v>0.83799999999999997</v>
          </cell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 t="str">
            <v>0</v>
          </cell>
          <cell r="BK139">
            <v>0</v>
          </cell>
          <cell r="BL139">
            <v>0</v>
          </cell>
          <cell r="BM139" t="str">
            <v/>
          </cell>
          <cell r="BN139" t="str">
            <v>0</v>
          </cell>
          <cell r="BO139" t="str">
            <v/>
          </cell>
          <cell r="BP139">
            <v>6.0804999999999998</v>
          </cell>
          <cell r="BQ139">
            <v>3.4809999999999999</v>
          </cell>
          <cell r="BR139">
            <v>-2.5994999999999999</v>
          </cell>
          <cell r="BS139">
            <v>78.940876572650282</v>
          </cell>
          <cell r="BT139">
            <v>137.89141051422007</v>
          </cell>
          <cell r="BU139">
            <v>-58.950533941569788</v>
          </cell>
          <cell r="BV139">
            <v>2.4600000000000004</v>
          </cell>
          <cell r="BW139">
            <v>4.3499999999999996</v>
          </cell>
          <cell r="BX139">
            <v>1.8899999999999992</v>
          </cell>
          <cell r="BY139">
            <v>195.12195121951217</v>
          </cell>
          <cell r="BZ139">
            <v>110.3448275862069</v>
          </cell>
          <cell r="CA139">
            <v>84.777123633305266</v>
          </cell>
          <cell r="CB139">
            <v>0.16549999999999998</v>
          </cell>
          <cell r="CC139">
            <v>0.106</v>
          </cell>
          <cell r="CD139">
            <v>-5.9499999999999983E-2</v>
          </cell>
          <cell r="CE139">
            <v>2900.3021148036255</v>
          </cell>
          <cell r="CF139">
            <v>4528.3018867924529</v>
          </cell>
          <cell r="CG139">
            <v>-1627.9997719888274</v>
          </cell>
          <cell r="CH139">
            <v>1.0035000000000001</v>
          </cell>
        </row>
        <row r="140">
          <cell r="A140" t="str">
            <v>SSA554A501</v>
          </cell>
          <cell r="B140"/>
          <cell r="C140">
            <v>5.4820000000000002</v>
          </cell>
          <cell r="D140">
            <v>4.41</v>
          </cell>
          <cell r="E140">
            <v>0.15</v>
          </cell>
          <cell r="F140">
            <v>1.218</v>
          </cell>
          <cell r="G140"/>
          <cell r="H140">
            <v>4.202</v>
          </cell>
          <cell r="I140">
            <v>3.4279999999999999</v>
          </cell>
          <cell r="J140">
            <v>0.192</v>
          </cell>
          <cell r="K140">
            <v>1.1439999999999999</v>
          </cell>
          <cell r="L140"/>
          <cell r="M140"/>
          <cell r="N140"/>
          <cell r="O140"/>
          <cell r="P140"/>
          <cell r="Q140"/>
          <cell r="R140">
            <v>3.75</v>
          </cell>
          <cell r="S140">
            <v>2.4580000000000002</v>
          </cell>
          <cell r="T140">
            <v>0.17399999999999999</v>
          </cell>
          <cell r="U140">
            <v>1.5169999999999999</v>
          </cell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 t="str">
            <v>0</v>
          </cell>
          <cell r="BK140">
            <v>0</v>
          </cell>
          <cell r="BL140">
            <v>0</v>
          </cell>
          <cell r="BM140" t="str">
            <v/>
          </cell>
          <cell r="BN140" t="str">
            <v>0</v>
          </cell>
          <cell r="BO140" t="str">
            <v/>
          </cell>
          <cell r="BP140">
            <v>4.4780000000000006</v>
          </cell>
          <cell r="BQ140">
            <v>5.5380000000000003</v>
          </cell>
          <cell r="BR140">
            <v>1.0599999999999996</v>
          </cell>
          <cell r="BS140">
            <v>107.19071013845465</v>
          </cell>
          <cell r="BT140">
            <v>86.673889490790899</v>
          </cell>
          <cell r="BU140">
            <v>20.516820647663749</v>
          </cell>
          <cell r="BV140">
            <v>3.4319999999999999</v>
          </cell>
          <cell r="BW140">
            <v>3.4870000000000001</v>
          </cell>
          <cell r="BX140">
            <v>5.500000000000016E-2</v>
          </cell>
          <cell r="BY140">
            <v>139.86013986013987</v>
          </cell>
          <cell r="BZ140">
            <v>137.65414396329223</v>
          </cell>
          <cell r="CA140">
            <v>2.2059958968476394</v>
          </cell>
          <cell r="CB140">
            <v>0.17200000000000001</v>
          </cell>
          <cell r="CC140">
            <v>0.10100000000000001</v>
          </cell>
          <cell r="CD140">
            <v>-7.1000000000000008E-2</v>
          </cell>
          <cell r="CE140">
            <v>2790.6976744186045</v>
          </cell>
          <cell r="CF140">
            <v>4752.4752475247524</v>
          </cell>
          <cell r="CG140">
            <v>-1961.7775731061479</v>
          </cell>
          <cell r="CH140">
            <v>1.2929999999999999</v>
          </cell>
        </row>
        <row r="141">
          <cell r="A141" t="str">
            <v>SSA554A502</v>
          </cell>
          <cell r="B141"/>
          <cell r="C141"/>
          <cell r="D141"/>
          <cell r="E141"/>
          <cell r="F141"/>
          <cell r="G141"/>
          <cell r="H141">
            <v>3.3170000000000002</v>
          </cell>
          <cell r="I141">
            <v>2.0619999999999998</v>
          </cell>
          <cell r="J141">
            <v>0.151</v>
          </cell>
          <cell r="K141">
            <v>0.90700000000000003</v>
          </cell>
          <cell r="L141"/>
          <cell r="M141"/>
          <cell r="N141"/>
          <cell r="O141"/>
          <cell r="P141"/>
          <cell r="Q141"/>
          <cell r="R141">
            <v>4.9139999999999997</v>
          </cell>
          <cell r="S141">
            <v>1.292</v>
          </cell>
          <cell r="T141">
            <v>0.15</v>
          </cell>
          <cell r="U141">
            <v>0.91900000000000004</v>
          </cell>
          <cell r="V141"/>
          <cell r="W141"/>
          <cell r="X141"/>
          <cell r="Y141"/>
          <cell r="Z141"/>
          <cell r="AA141"/>
          <cell r="AB141"/>
          <cell r="AC141"/>
          <cell r="AD141"/>
          <cell r="AE141">
            <v>0.8</v>
          </cell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 t="str">
            <v>0</v>
          </cell>
          <cell r="BK141">
            <v>0</v>
          </cell>
          <cell r="BL141">
            <v>0</v>
          </cell>
          <cell r="BM141" t="str">
            <v/>
          </cell>
          <cell r="BN141" t="str">
            <v>0</v>
          </cell>
          <cell r="BO141" t="str">
            <v/>
          </cell>
          <cell r="BP141">
            <v>4.1154999999999999</v>
          </cell>
          <cell r="BQ141">
            <v>5.202</v>
          </cell>
          <cell r="BR141">
            <v>1.0865</v>
          </cell>
          <cell r="BS141">
            <v>116.63224395577694</v>
          </cell>
          <cell r="BT141">
            <v>92.272202998846595</v>
          </cell>
          <cell r="BU141">
            <v>24.360040956930348</v>
          </cell>
          <cell r="BV141">
            <v>1.677</v>
          </cell>
          <cell r="BW141">
            <v>3.6989999999999998</v>
          </cell>
          <cell r="BX141">
            <v>2.0219999999999998</v>
          </cell>
          <cell r="BY141">
            <v>286.22540250447224</v>
          </cell>
          <cell r="BZ141">
            <v>129.76480129764801</v>
          </cell>
          <cell r="CA141">
            <v>156.46060120682424</v>
          </cell>
          <cell r="CB141">
            <v>0.15049999999999999</v>
          </cell>
          <cell r="CC141">
            <v>0.11600000000000001</v>
          </cell>
          <cell r="CD141">
            <v>-3.4499999999999989E-2</v>
          </cell>
          <cell r="CE141">
            <v>3189.3687707641197</v>
          </cell>
          <cell r="CF141">
            <v>4137.9310344827582</v>
          </cell>
          <cell r="CG141">
            <v>-948.56226371863841</v>
          </cell>
          <cell r="CH141">
            <v>0.87533333333333341</v>
          </cell>
        </row>
        <row r="142">
          <cell r="A142" t="str">
            <v>SSA554A511</v>
          </cell>
          <cell r="B142"/>
          <cell r="C142">
            <v>5.3179999999999996</v>
          </cell>
          <cell r="D142">
            <v>3.036</v>
          </cell>
          <cell r="E142">
            <v>0.159</v>
          </cell>
          <cell r="F142">
            <v>1.224</v>
          </cell>
          <cell r="G142"/>
          <cell r="H142">
            <v>6.9109999999999996</v>
          </cell>
          <cell r="I142">
            <v>1.7030000000000001</v>
          </cell>
          <cell r="J142">
            <v>0.17499999999999999</v>
          </cell>
          <cell r="K142"/>
          <cell r="L142"/>
          <cell r="M142">
            <v>5.9089999999999998</v>
          </cell>
          <cell r="N142">
            <v>3.0529999999999999</v>
          </cell>
          <cell r="O142">
            <v>0.16300000000000001</v>
          </cell>
          <cell r="P142">
            <v>1.105</v>
          </cell>
          <cell r="Q142"/>
          <cell r="R142">
            <v>6.1459999999999999</v>
          </cell>
          <cell r="S142">
            <v>2.5379999999999998</v>
          </cell>
          <cell r="T142">
            <v>0.182</v>
          </cell>
          <cell r="U142">
            <v>1.2470000000000001</v>
          </cell>
          <cell r="V142"/>
          <cell r="W142"/>
          <cell r="X142"/>
          <cell r="Y142"/>
          <cell r="Z142"/>
          <cell r="AA142"/>
          <cell r="AB142">
            <v>6.6870000000000003</v>
          </cell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 t="str">
            <v>0</v>
          </cell>
          <cell r="BK142">
            <v>0</v>
          </cell>
          <cell r="BL142">
            <v>0</v>
          </cell>
          <cell r="BM142" t="str">
            <v/>
          </cell>
          <cell r="BN142" t="str">
            <v>0</v>
          </cell>
          <cell r="BO142" t="str">
            <v/>
          </cell>
          <cell r="BP142">
            <v>6.1942000000000004</v>
          </cell>
          <cell r="BQ142">
            <v>2.57</v>
          </cell>
          <cell r="BR142">
            <v>-3.6242000000000005</v>
          </cell>
          <cell r="BS142">
            <v>77.49184721190791</v>
          </cell>
          <cell r="BT142">
            <v>186.77042801556422</v>
          </cell>
          <cell r="BU142">
            <v>-109.27858080365631</v>
          </cell>
          <cell r="BV142">
            <v>2.5825</v>
          </cell>
          <cell r="BW142">
            <v>2.52</v>
          </cell>
          <cell r="BX142">
            <v>-6.25E-2</v>
          </cell>
          <cell r="BY142">
            <v>185.86640851887705</v>
          </cell>
          <cell r="BZ142">
            <v>190.47619047619048</v>
          </cell>
          <cell r="CA142">
            <v>-4.6097819573134302</v>
          </cell>
          <cell r="CB142">
            <v>0.16975000000000001</v>
          </cell>
          <cell r="CC142">
            <v>0</v>
          </cell>
          <cell r="CD142">
            <v>-0.16975000000000001</v>
          </cell>
          <cell r="CE142">
            <v>2827.6877761413843</v>
          </cell>
          <cell r="CF142" t="str">
            <v>0</v>
          </cell>
          <cell r="CG142">
            <v>2827.6877761413843</v>
          </cell>
          <cell r="CH142">
            <v>1.1919999999999999</v>
          </cell>
        </row>
        <row r="143">
          <cell r="A143" t="str">
            <v>SWT-115</v>
          </cell>
          <cell r="B143"/>
          <cell r="C143">
            <v>9.4</v>
          </cell>
          <cell r="D143">
            <v>3.97</v>
          </cell>
          <cell r="E143">
            <v>0.16900000000000001</v>
          </cell>
          <cell r="F143">
            <v>0.92500000000000004</v>
          </cell>
          <cell r="G143"/>
          <cell r="H143">
            <v>8.577</v>
          </cell>
          <cell r="I143">
            <v>4.82</v>
          </cell>
          <cell r="J143">
            <v>0.155</v>
          </cell>
          <cell r="K143">
            <v>1.167</v>
          </cell>
          <cell r="L143"/>
          <cell r="M143"/>
          <cell r="N143"/>
          <cell r="O143"/>
          <cell r="P143"/>
          <cell r="Q143"/>
          <cell r="R143">
            <v>5.1820000000000004</v>
          </cell>
          <cell r="S143">
            <v>3.06</v>
          </cell>
          <cell r="T143">
            <v>0.187</v>
          </cell>
          <cell r="U143">
            <v>1.236</v>
          </cell>
          <cell r="V143"/>
          <cell r="W143"/>
          <cell r="X143"/>
          <cell r="Y143"/>
          <cell r="Z143">
            <v>1.3069999999999999</v>
          </cell>
          <cell r="AA143"/>
          <cell r="AB143">
            <v>7.0229999999999997</v>
          </cell>
          <cell r="AC143">
            <v>4.6150000000000002</v>
          </cell>
          <cell r="AD143">
            <v>0.19400000000000001</v>
          </cell>
          <cell r="AE143">
            <v>0.89800000000000002</v>
          </cell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 t="str">
            <v>0</v>
          </cell>
          <cell r="BK143">
            <v>0</v>
          </cell>
          <cell r="BL143">
            <v>0</v>
          </cell>
          <cell r="BM143" t="str">
            <v/>
          </cell>
          <cell r="BN143" t="str">
            <v>0</v>
          </cell>
          <cell r="BO143" t="str">
            <v/>
          </cell>
          <cell r="BP143">
            <v>7.5454999999999997</v>
          </cell>
          <cell r="BQ143">
            <v>5</v>
          </cell>
          <cell r="BR143">
            <v>-2.5454999999999997</v>
          </cell>
          <cell r="BS143">
            <v>63.614074614008352</v>
          </cell>
          <cell r="BT143">
            <v>96</v>
          </cell>
          <cell r="BU143">
            <v>-32.385925385991648</v>
          </cell>
          <cell r="BV143">
            <v>4.1162500000000009</v>
          </cell>
          <cell r="BW143">
            <v>2.15</v>
          </cell>
          <cell r="BX143">
            <v>-1.9662500000000009</v>
          </cell>
          <cell r="BY143">
            <v>116.61099301548737</v>
          </cell>
          <cell r="BZ143">
            <v>223.25581395348837</v>
          </cell>
          <cell r="CA143">
            <v>-106.644820938001</v>
          </cell>
          <cell r="CB143">
            <v>0.17625000000000002</v>
          </cell>
          <cell r="CC143">
            <v>0</v>
          </cell>
          <cell r="CD143">
            <v>-0.17625000000000002</v>
          </cell>
          <cell r="CE143">
            <v>2723.4042553191489</v>
          </cell>
          <cell r="CF143" t="str">
            <v>0</v>
          </cell>
          <cell r="CG143">
            <v>2723.4042553191489</v>
          </cell>
          <cell r="CH143">
            <v>1.1065999999999998</v>
          </cell>
        </row>
        <row r="144">
          <cell r="A144" t="str">
            <v>SWT-91</v>
          </cell>
          <cell r="B144"/>
          <cell r="C144">
            <v>8.0090000000000003</v>
          </cell>
          <cell r="D144">
            <v>3.0710000000000002</v>
          </cell>
          <cell r="E144">
            <v>0.17399999999999999</v>
          </cell>
          <cell r="F144">
            <v>0.98899999999999999</v>
          </cell>
          <cell r="G144"/>
          <cell r="H144">
            <v>8.4190000000000005</v>
          </cell>
          <cell r="I144">
            <v>4.6660000000000004</v>
          </cell>
          <cell r="J144">
            <v>0.158</v>
          </cell>
          <cell r="K144">
            <v>3.879</v>
          </cell>
          <cell r="L144"/>
          <cell r="M144"/>
          <cell r="N144"/>
          <cell r="O144"/>
          <cell r="P144">
            <v>1.5029999999999999</v>
          </cell>
          <cell r="Q144"/>
          <cell r="R144">
            <v>5.375</v>
          </cell>
          <cell r="S144">
            <v>2.4950000000000001</v>
          </cell>
          <cell r="T144">
            <v>0.17899999999999999</v>
          </cell>
          <cell r="U144">
            <v>1.0880000000000001</v>
          </cell>
          <cell r="V144"/>
          <cell r="W144">
            <v>4.3710000000000004</v>
          </cell>
          <cell r="X144">
            <v>4.3659999999999997</v>
          </cell>
          <cell r="Y144">
            <v>0.16900000000000001</v>
          </cell>
          <cell r="Z144">
            <v>1.292</v>
          </cell>
          <cell r="AA144"/>
          <cell r="AB144">
            <v>5.1920000000000002</v>
          </cell>
          <cell r="AC144">
            <v>4.601</v>
          </cell>
          <cell r="AD144">
            <v>0.186</v>
          </cell>
          <cell r="AE144">
            <v>0.95</v>
          </cell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 t="str">
            <v>0</v>
          </cell>
          <cell r="BK144">
            <v>0</v>
          </cell>
          <cell r="BL144">
            <v>0</v>
          </cell>
          <cell r="BM144" t="str">
            <v/>
          </cell>
          <cell r="BN144" t="str">
            <v>0</v>
          </cell>
          <cell r="BO144" t="str">
            <v/>
          </cell>
          <cell r="BP144">
            <v>6.2732000000000001</v>
          </cell>
          <cell r="BQ144">
            <v>5.36</v>
          </cell>
          <cell r="BR144">
            <v>-0.91319999999999979</v>
          </cell>
          <cell r="BS144">
            <v>76.515972709303071</v>
          </cell>
          <cell r="BT144">
            <v>89.552238805970148</v>
          </cell>
          <cell r="BU144">
            <v>-13.036266096667077</v>
          </cell>
          <cell r="BV144">
            <v>3.8397999999999994</v>
          </cell>
          <cell r="BW144">
            <v>2.1</v>
          </cell>
          <cell r="BX144">
            <v>-1.7397999999999993</v>
          </cell>
          <cell r="BY144">
            <v>125.00651075576855</v>
          </cell>
          <cell r="BZ144">
            <v>228.57142857142856</v>
          </cell>
          <cell r="CA144">
            <v>-103.56491781566001</v>
          </cell>
          <cell r="CB144">
            <v>0.17319999999999997</v>
          </cell>
          <cell r="CC144">
            <v>0</v>
          </cell>
          <cell r="CD144">
            <v>-0.17319999999999997</v>
          </cell>
          <cell r="CE144">
            <v>2771.3625866050816</v>
          </cell>
          <cell r="CF144" t="str">
            <v>0</v>
          </cell>
          <cell r="CG144">
            <v>2771.3625866050816</v>
          </cell>
          <cell r="CH144">
            <v>1.6168333333333333</v>
          </cell>
        </row>
        <row r="145">
          <cell r="A145" t="str">
            <v>T0700190B</v>
          </cell>
          <cell r="B145"/>
          <cell r="C145">
            <v>1.18</v>
          </cell>
          <cell r="D145">
            <v>3.1040000000000001</v>
          </cell>
          <cell r="E145">
            <v>0.16700000000000001</v>
          </cell>
          <cell r="F145">
            <v>1.0900000000000001</v>
          </cell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>
            <v>1.78</v>
          </cell>
          <cell r="X145">
            <v>6.8890000000000002</v>
          </cell>
          <cell r="Y145">
            <v>0.17799999999999999</v>
          </cell>
          <cell r="Z145"/>
          <cell r="AA145"/>
          <cell r="AB145">
            <v>1.1990000000000001</v>
          </cell>
          <cell r="AC145">
            <v>5.3780000000000001</v>
          </cell>
          <cell r="AD145">
            <v>0.185</v>
          </cell>
          <cell r="AE145">
            <v>1.115</v>
          </cell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 t="str">
            <v>0</v>
          </cell>
          <cell r="BK145">
            <v>0</v>
          </cell>
          <cell r="BL145">
            <v>0</v>
          </cell>
          <cell r="BM145" t="str">
            <v/>
          </cell>
          <cell r="BN145" t="str">
            <v>0</v>
          </cell>
          <cell r="BO145" t="str">
            <v/>
          </cell>
          <cell r="BP145">
            <v>1.3863333333333332</v>
          </cell>
          <cell r="BQ145">
            <v>1.673</v>
          </cell>
          <cell r="BR145">
            <v>0.28666666666666685</v>
          </cell>
          <cell r="BS145">
            <v>346.23707622024529</v>
          </cell>
          <cell r="BT145">
            <v>286.90974297668856</v>
          </cell>
          <cell r="BU145">
            <v>59.327333243556723</v>
          </cell>
          <cell r="BV145">
            <v>5.1236666666666668</v>
          </cell>
          <cell r="BW145">
            <v>3.46</v>
          </cell>
          <cell r="BX145">
            <v>-1.6636666666666668</v>
          </cell>
          <cell r="BY145">
            <v>93.682909374796694</v>
          </cell>
          <cell r="BZ145">
            <v>138.72832369942196</v>
          </cell>
          <cell r="CA145">
            <v>-45.04541432462527</v>
          </cell>
          <cell r="CB145">
            <v>0.17666666666666667</v>
          </cell>
          <cell r="CC145">
            <v>0.14199999999999999</v>
          </cell>
          <cell r="CD145">
            <v>-3.4666666666666679E-2</v>
          </cell>
          <cell r="CE145">
            <v>2716.9811320754716</v>
          </cell>
          <cell r="CF145">
            <v>3380.2816901408455</v>
          </cell>
          <cell r="CG145">
            <v>-663.30055806537393</v>
          </cell>
          <cell r="CH145">
            <v>1.1025</v>
          </cell>
        </row>
        <row r="146">
          <cell r="A146" t="str">
            <v>T0700200B</v>
          </cell>
          <cell r="B146"/>
          <cell r="C146">
            <v>1.3080000000000001</v>
          </cell>
          <cell r="D146">
            <v>2.4700000000000002</v>
          </cell>
          <cell r="E146">
            <v>0.17</v>
          </cell>
          <cell r="F146">
            <v>0.88700000000000001</v>
          </cell>
          <cell r="G146"/>
          <cell r="H146"/>
          <cell r="I146"/>
          <cell r="J146">
            <v>0.34799999999999998</v>
          </cell>
          <cell r="K146">
            <v>1.944</v>
          </cell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>
            <v>1.716</v>
          </cell>
          <cell r="AC146">
            <v>6.85</v>
          </cell>
          <cell r="AD146">
            <v>0.19800000000000001</v>
          </cell>
          <cell r="AE146">
            <v>1.385</v>
          </cell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 t="str">
            <v>0</v>
          </cell>
          <cell r="BK146">
            <v>0</v>
          </cell>
          <cell r="BL146">
            <v>0</v>
          </cell>
          <cell r="BM146" t="str">
            <v/>
          </cell>
          <cell r="BN146" t="str">
            <v>0</v>
          </cell>
          <cell r="BO146" t="str">
            <v/>
          </cell>
          <cell r="BP146">
            <v>1.512</v>
          </cell>
          <cell r="BQ146">
            <v>1.69</v>
          </cell>
          <cell r="BR146">
            <v>0.17799999999999994</v>
          </cell>
          <cell r="BS146">
            <v>317.46031746031747</v>
          </cell>
          <cell r="BT146">
            <v>284.02366863905326</v>
          </cell>
          <cell r="BU146">
            <v>33.436648821264214</v>
          </cell>
          <cell r="BV146">
            <v>4.66</v>
          </cell>
          <cell r="BW146">
            <v>2.8730000000000002</v>
          </cell>
          <cell r="BX146">
            <v>-1.7869999999999999</v>
          </cell>
          <cell r="BY146">
            <v>103.00429184549355</v>
          </cell>
          <cell r="BZ146">
            <v>167.07274625826662</v>
          </cell>
          <cell r="CA146">
            <v>-64.068454412773065</v>
          </cell>
          <cell r="CB146">
            <v>0.23866666666666667</v>
          </cell>
          <cell r="CC146">
            <v>0.127</v>
          </cell>
          <cell r="CD146">
            <v>-0.11166666666666666</v>
          </cell>
          <cell r="CE146">
            <v>2011.1731843575419</v>
          </cell>
          <cell r="CF146">
            <v>3779.5275590551182</v>
          </cell>
          <cell r="CG146">
            <v>-1768.3543746975763</v>
          </cell>
          <cell r="CH146">
            <v>1.4053333333333333</v>
          </cell>
        </row>
        <row r="147">
          <cell r="A147" t="str">
            <v>T1104</v>
          </cell>
          <cell r="B147"/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>
            <v>2.5249999999999999</v>
          </cell>
          <cell r="N147">
            <v>6.5670000000000002</v>
          </cell>
          <cell r="O147">
            <v>0.159</v>
          </cell>
          <cell r="P147"/>
          <cell r="Q147"/>
          <cell r="R147"/>
          <cell r="S147"/>
          <cell r="T147"/>
          <cell r="U147">
            <v>1.35</v>
          </cell>
          <cell r="V147"/>
          <cell r="W147">
            <v>2.4849999999999999</v>
          </cell>
          <cell r="X147"/>
          <cell r="Y147">
            <v>0.16600000000000001</v>
          </cell>
          <cell r="Z147">
            <v>1.7789999999999999</v>
          </cell>
          <cell r="AA147"/>
          <cell r="AB147">
            <v>2.1219999999999999</v>
          </cell>
          <cell r="AC147">
            <v>9.6980000000000004</v>
          </cell>
          <cell r="AD147">
            <v>0.188</v>
          </cell>
          <cell r="AE147">
            <v>2.3860000000000001</v>
          </cell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 t="str">
            <v>0</v>
          </cell>
          <cell r="BK147">
            <v>0</v>
          </cell>
          <cell r="BL147">
            <v>0</v>
          </cell>
          <cell r="BM147" t="str">
            <v/>
          </cell>
          <cell r="BN147" t="str">
            <v>0</v>
          </cell>
          <cell r="BO147" t="str">
            <v/>
          </cell>
          <cell r="BP147">
            <v>2.3773333333333331</v>
          </cell>
          <cell r="BQ147">
            <v>1.59</v>
          </cell>
          <cell r="BR147">
            <v>-0.787333333333333</v>
          </cell>
          <cell r="BS147">
            <v>201.90689848569829</v>
          </cell>
          <cell r="BT147">
            <v>301.88679245283015</v>
          </cell>
          <cell r="BU147">
            <v>-99.979893967131858</v>
          </cell>
          <cell r="BV147">
            <v>8.1325000000000003</v>
          </cell>
          <cell r="BW147">
            <v>5.61</v>
          </cell>
          <cell r="BX147">
            <v>-2.5225</v>
          </cell>
          <cell r="BY147">
            <v>59.0224408238549</v>
          </cell>
          <cell r="BZ147">
            <v>85.561497326203209</v>
          </cell>
          <cell r="CA147">
            <v>-26.539056502348309</v>
          </cell>
          <cell r="CB147">
            <v>0.17100000000000001</v>
          </cell>
          <cell r="CC147">
            <v>0.1</v>
          </cell>
          <cell r="CD147">
            <v>-7.1000000000000008E-2</v>
          </cell>
          <cell r="CE147">
            <v>2807.0175438596489</v>
          </cell>
          <cell r="CF147">
            <v>4800</v>
          </cell>
          <cell r="CG147">
            <v>-1992.9824561403511</v>
          </cell>
          <cell r="CH147">
            <v>1.8383333333333336</v>
          </cell>
        </row>
        <row r="148">
          <cell r="A148" t="str">
            <v>T4059TA</v>
          </cell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>
            <v>8.3030000000000008</v>
          </cell>
          <cell r="N148"/>
          <cell r="O148"/>
          <cell r="P148"/>
          <cell r="Q148"/>
          <cell r="R148">
            <v>8.157</v>
          </cell>
          <cell r="S148">
            <v>3.484</v>
          </cell>
          <cell r="T148">
            <v>0.17100000000000001</v>
          </cell>
          <cell r="U148">
            <v>1.9079999999999999</v>
          </cell>
          <cell r="V148"/>
          <cell r="W148">
            <v>10.272</v>
          </cell>
          <cell r="X148">
            <v>3.1469999999999998</v>
          </cell>
          <cell r="Y148">
            <v>0.16700000000000001</v>
          </cell>
          <cell r="Z148">
            <v>1.2330000000000001</v>
          </cell>
          <cell r="AA148"/>
          <cell r="AB148">
            <v>8.282</v>
          </cell>
          <cell r="AC148">
            <v>3.101</v>
          </cell>
          <cell r="AD148">
            <v>0.20399999999999999</v>
          </cell>
          <cell r="AE148">
            <v>0.92300000000000004</v>
          </cell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 t="str">
            <v>0</v>
          </cell>
          <cell r="BK148">
            <v>0</v>
          </cell>
          <cell r="BL148">
            <v>0</v>
          </cell>
          <cell r="BM148" t="str">
            <v/>
          </cell>
          <cell r="BN148" t="str">
            <v>0</v>
          </cell>
          <cell r="BO148" t="str">
            <v/>
          </cell>
          <cell r="BP148">
            <v>8.7534999999999989</v>
          </cell>
          <cell r="BQ148">
            <v>6.5030000000000001</v>
          </cell>
          <cell r="BR148">
            <v>-2.2504999999999988</v>
          </cell>
          <cell r="BS148">
            <v>54.835208773633411</v>
          </cell>
          <cell r="BT148">
            <v>73.812086729201908</v>
          </cell>
          <cell r="BU148">
            <v>-18.976877955568497</v>
          </cell>
          <cell r="BV148">
            <v>3.2439999999999998</v>
          </cell>
          <cell r="BW148">
            <v>2.9449999999999998</v>
          </cell>
          <cell r="BX148">
            <v>-0.29899999999999993</v>
          </cell>
          <cell r="BY148">
            <v>147.96547472256475</v>
          </cell>
          <cell r="BZ148">
            <v>162.98811544991511</v>
          </cell>
          <cell r="CA148">
            <v>-15.022640727350364</v>
          </cell>
          <cell r="CB148">
            <v>0.18066666666666667</v>
          </cell>
          <cell r="CC148">
            <v>8.1000000000000003E-2</v>
          </cell>
          <cell r="CD148">
            <v>-9.9666666666666667E-2</v>
          </cell>
          <cell r="CE148">
            <v>2656.8265682656825</v>
          </cell>
          <cell r="CF148">
            <v>5925.9259259259261</v>
          </cell>
          <cell r="CG148">
            <v>-3269.0993576602436</v>
          </cell>
          <cell r="CH148">
            <v>1.3546666666666667</v>
          </cell>
        </row>
        <row r="149">
          <cell r="A149" t="str">
            <v>TAM25301</v>
          </cell>
          <cell r="B149"/>
          <cell r="C149">
            <v>1.262</v>
          </cell>
          <cell r="D149">
            <v>2.5190000000000001</v>
          </cell>
          <cell r="E149">
            <v>0.16700000000000001</v>
          </cell>
          <cell r="F149">
            <v>1.3660000000000001</v>
          </cell>
          <cell r="G149"/>
          <cell r="H149">
            <v>1.224</v>
          </cell>
          <cell r="I149">
            <v>1.671</v>
          </cell>
          <cell r="J149">
            <v>0.20499999999999999</v>
          </cell>
          <cell r="K149">
            <v>1.536</v>
          </cell>
          <cell r="L149"/>
          <cell r="M149"/>
          <cell r="N149"/>
          <cell r="O149"/>
          <cell r="P149">
            <v>1.4570000000000001</v>
          </cell>
          <cell r="Q149"/>
          <cell r="R149">
            <v>1.2889999999999999</v>
          </cell>
          <cell r="S149">
            <v>2.4169999999999998</v>
          </cell>
          <cell r="T149">
            <v>0.17899999999999999</v>
          </cell>
          <cell r="U149">
            <v>1.6040000000000001</v>
          </cell>
          <cell r="V149"/>
          <cell r="W149">
            <v>1.252</v>
          </cell>
          <cell r="X149">
            <v>1.9219999999999999</v>
          </cell>
          <cell r="Y149">
            <v>0.16600000000000001</v>
          </cell>
          <cell r="Z149">
            <v>1.28</v>
          </cell>
          <cell r="AA149"/>
          <cell r="AB149">
            <v>1.212</v>
          </cell>
          <cell r="AC149">
            <v>2.6360000000000001</v>
          </cell>
          <cell r="AD149">
            <v>0.17699999999999999</v>
          </cell>
          <cell r="AE149">
            <v>1.1319999999999999</v>
          </cell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 t="str">
            <v>0</v>
          </cell>
          <cell r="BK149">
            <v>0</v>
          </cell>
          <cell r="BL149">
            <v>0</v>
          </cell>
          <cell r="BM149" t="str">
            <v/>
          </cell>
          <cell r="BN149" t="str">
            <v>0</v>
          </cell>
          <cell r="BO149" t="str">
            <v/>
          </cell>
          <cell r="BP149">
            <v>1.2477999999999998</v>
          </cell>
          <cell r="BQ149">
            <v>1.3</v>
          </cell>
          <cell r="BR149">
            <v>5.2200000000000246E-2</v>
          </cell>
          <cell r="BS149">
            <v>384.6770315755731</v>
          </cell>
          <cell r="BT149">
            <v>369.23076923076923</v>
          </cell>
          <cell r="BU149">
            <v>15.44626234480387</v>
          </cell>
          <cell r="BV149">
            <v>2.2329999999999997</v>
          </cell>
          <cell r="BW149">
            <v>1.77</v>
          </cell>
          <cell r="BX149">
            <v>-0.46299999999999963</v>
          </cell>
          <cell r="BY149">
            <v>214.95745633676671</v>
          </cell>
          <cell r="BZ149">
            <v>271.18644067796612</v>
          </cell>
          <cell r="CA149">
            <v>-56.228984341199407</v>
          </cell>
          <cell r="CB149">
            <v>0.17879999999999999</v>
          </cell>
          <cell r="CC149">
            <v>0</v>
          </cell>
          <cell r="CD149">
            <v>-0.17879999999999999</v>
          </cell>
          <cell r="CE149">
            <v>2684.5637583892621</v>
          </cell>
          <cell r="CF149" t="str">
            <v>0</v>
          </cell>
          <cell r="CG149">
            <v>2684.5637583892621</v>
          </cell>
          <cell r="CH149">
            <v>1.3958333333333333</v>
          </cell>
        </row>
        <row r="150">
          <cell r="A150" t="str">
            <v>TAM26001</v>
          </cell>
          <cell r="B150"/>
          <cell r="C150"/>
          <cell r="D150">
            <v>3.57</v>
          </cell>
          <cell r="E150">
            <v>0.151</v>
          </cell>
          <cell r="F150">
            <v>1.246</v>
          </cell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>
            <v>1.091</v>
          </cell>
          <cell r="X150">
            <v>2.6219999999999999</v>
          </cell>
          <cell r="Y150">
            <v>0.188</v>
          </cell>
          <cell r="Z150">
            <v>0.94599999999999995</v>
          </cell>
          <cell r="AA150"/>
          <cell r="AB150">
            <v>1.5009999999999999</v>
          </cell>
          <cell r="AC150">
            <v>2.2090000000000001</v>
          </cell>
          <cell r="AD150">
            <v>0.17699999999999999</v>
          </cell>
          <cell r="AE150">
            <v>1.1259999999999999</v>
          </cell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 t="str">
            <v>0</v>
          </cell>
          <cell r="BK150">
            <v>0</v>
          </cell>
          <cell r="BL150">
            <v>0</v>
          </cell>
          <cell r="BM150" t="str">
            <v/>
          </cell>
          <cell r="BN150" t="str">
            <v>0</v>
          </cell>
          <cell r="BO150" t="str">
            <v/>
          </cell>
          <cell r="BP150">
            <v>1.2959999999999998</v>
          </cell>
          <cell r="BQ150">
            <v>1.8</v>
          </cell>
          <cell r="BR150">
            <v>0.50400000000000023</v>
          </cell>
          <cell r="BS150">
            <v>370.37037037037044</v>
          </cell>
          <cell r="BT150">
            <v>266.66666666666669</v>
          </cell>
          <cell r="BU150">
            <v>103.70370370370375</v>
          </cell>
          <cell r="BV150">
            <v>2.8003333333333331</v>
          </cell>
          <cell r="BW150">
            <v>1.78</v>
          </cell>
          <cell r="BX150">
            <v>-1.0203333333333331</v>
          </cell>
          <cell r="BY150">
            <v>171.40816569456018</v>
          </cell>
          <cell r="BZ150">
            <v>269.66292134831463</v>
          </cell>
          <cell r="CA150">
            <v>-98.254755653754444</v>
          </cell>
          <cell r="CB150">
            <v>0.17200000000000001</v>
          </cell>
          <cell r="CC150">
            <v>0</v>
          </cell>
          <cell r="CD150">
            <v>-0.17200000000000001</v>
          </cell>
          <cell r="CE150">
            <v>2790.6976744186045</v>
          </cell>
          <cell r="CF150" t="str">
            <v>0</v>
          </cell>
          <cell r="CG150">
            <v>2790.6976744186045</v>
          </cell>
          <cell r="CH150">
            <v>1.1060000000000001</v>
          </cell>
        </row>
        <row r="151">
          <cell r="A151" t="str">
            <v>TP3520T13215F</v>
          </cell>
          <cell r="B151"/>
          <cell r="C151"/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>
            <v>1.8180000000000001</v>
          </cell>
          <cell r="R151"/>
          <cell r="S151"/>
          <cell r="T151"/>
          <cell r="U151"/>
          <cell r="V151"/>
          <cell r="W151">
            <v>2.0609999999999999</v>
          </cell>
          <cell r="X151">
            <v>3.1880000000000002</v>
          </cell>
          <cell r="Y151">
            <v>0.17199999999999999</v>
          </cell>
          <cell r="Z151">
            <v>1.9079999999999999</v>
          </cell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>
            <v>1.8180000000000001</v>
          </cell>
          <cell r="BK151">
            <v>0</v>
          </cell>
          <cell r="BL151">
            <v>-1.8180000000000001</v>
          </cell>
          <cell r="BM151">
            <v>264.026402640264</v>
          </cell>
          <cell r="BN151" t="str">
            <v>0</v>
          </cell>
          <cell r="BO151">
            <v>264.026402640264</v>
          </cell>
          <cell r="BP151">
            <v>2.0609999999999999</v>
          </cell>
          <cell r="BQ151">
            <v>3.58</v>
          </cell>
          <cell r="BR151">
            <v>1.5190000000000001</v>
          </cell>
          <cell r="BS151">
            <v>232.89665211062592</v>
          </cell>
          <cell r="BT151">
            <v>134.07821229050279</v>
          </cell>
          <cell r="BU151">
            <v>98.818439820123132</v>
          </cell>
          <cell r="BV151">
            <v>3.1880000000000002</v>
          </cell>
          <cell r="BW151">
            <v>5.0599999999999996</v>
          </cell>
          <cell r="BX151">
            <v>1.8719999999999994</v>
          </cell>
          <cell r="BY151">
            <v>150.56461731493098</v>
          </cell>
          <cell r="BZ151">
            <v>94.86166007905139</v>
          </cell>
          <cell r="CA151">
            <v>55.702957235879595</v>
          </cell>
          <cell r="CB151">
            <v>0.17199999999999999</v>
          </cell>
          <cell r="CC151">
            <v>0.1</v>
          </cell>
          <cell r="CD151">
            <v>-7.1999999999999981E-2</v>
          </cell>
          <cell r="CE151">
            <v>2790.6976744186049</v>
          </cell>
          <cell r="CF151">
            <v>4800</v>
          </cell>
          <cell r="CG151">
            <v>-2009.3023255813951</v>
          </cell>
          <cell r="CH151">
            <v>1.9079999999999999</v>
          </cell>
        </row>
        <row r="152">
          <cell r="A152" t="str">
            <v>TTC-02</v>
          </cell>
          <cell r="B152"/>
          <cell r="C152">
            <v>1.863</v>
          </cell>
          <cell r="D152">
            <v>4.5609999999999999</v>
          </cell>
          <cell r="E152">
            <v>0.17399999999999999</v>
          </cell>
          <cell r="F152">
            <v>1.8280000000000001</v>
          </cell>
          <cell r="G152"/>
          <cell r="H152">
            <v>1.8129999999999999</v>
          </cell>
          <cell r="I152">
            <v>10.548999999999999</v>
          </cell>
          <cell r="J152">
            <v>0.17299999999999999</v>
          </cell>
          <cell r="K152">
            <v>2.8</v>
          </cell>
          <cell r="L152"/>
          <cell r="M152">
            <v>1.95</v>
          </cell>
          <cell r="N152">
            <v>6.7839999999999998</v>
          </cell>
          <cell r="O152">
            <v>0.17100000000000001</v>
          </cell>
          <cell r="P152"/>
          <cell r="Q152"/>
          <cell r="R152"/>
          <cell r="S152"/>
          <cell r="T152"/>
          <cell r="U152">
            <v>2</v>
          </cell>
          <cell r="V152"/>
          <cell r="W152">
            <v>1.903</v>
          </cell>
          <cell r="X152">
            <v>9.4740000000000002</v>
          </cell>
          <cell r="Y152"/>
          <cell r="Z152">
            <v>1.8959999999999999</v>
          </cell>
          <cell r="AA152"/>
          <cell r="AB152">
            <v>1.698</v>
          </cell>
          <cell r="AC152">
            <v>5.2050000000000001</v>
          </cell>
          <cell r="AD152">
            <v>0.26800000000000002</v>
          </cell>
          <cell r="AE152">
            <v>1.6559999999999999</v>
          </cell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 t="str">
            <v>0</v>
          </cell>
          <cell r="BK152">
            <v>0</v>
          </cell>
          <cell r="BL152">
            <v>0</v>
          </cell>
          <cell r="BM152" t="str">
            <v/>
          </cell>
          <cell r="BN152" t="str">
            <v>0</v>
          </cell>
          <cell r="BO152" t="str">
            <v/>
          </cell>
          <cell r="BP152">
            <v>1.8454000000000002</v>
          </cell>
          <cell r="BQ152">
            <v>1.59</v>
          </cell>
          <cell r="BR152">
            <v>-0.25540000000000007</v>
          </cell>
          <cell r="BS152">
            <v>260.1062100357646</v>
          </cell>
          <cell r="BT152">
            <v>301.88679245283015</v>
          </cell>
          <cell r="BU152">
            <v>-41.780582417065546</v>
          </cell>
          <cell r="BV152">
            <v>7.3146000000000004</v>
          </cell>
          <cell r="BW152">
            <v>3.8</v>
          </cell>
          <cell r="BX152">
            <v>-3.5146000000000006</v>
          </cell>
          <cell r="BY152">
            <v>65.622180296940357</v>
          </cell>
          <cell r="BZ152">
            <v>126.31578947368422</v>
          </cell>
          <cell r="CA152">
            <v>-60.693609176743863</v>
          </cell>
          <cell r="CB152">
            <v>0.19650000000000001</v>
          </cell>
          <cell r="CC152">
            <v>0.1</v>
          </cell>
          <cell r="CD152">
            <v>-9.6500000000000002E-2</v>
          </cell>
          <cell r="CE152">
            <v>2442.7480916030531</v>
          </cell>
          <cell r="CF152">
            <v>4800</v>
          </cell>
          <cell r="CG152">
            <v>-2357.2519083969469</v>
          </cell>
          <cell r="CH152">
            <v>2.0360000000000005</v>
          </cell>
        </row>
        <row r="153">
          <cell r="A153" t="str">
            <v>TTC-105</v>
          </cell>
          <cell r="B153"/>
          <cell r="C153">
            <v>2.1110000000000002</v>
          </cell>
          <cell r="D153">
            <v>3.7789999999999999</v>
          </cell>
          <cell r="E153">
            <v>0.16500000000000001</v>
          </cell>
          <cell r="F153">
            <v>1.395</v>
          </cell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>
            <v>3.0409999999999999</v>
          </cell>
          <cell r="S153"/>
          <cell r="T153"/>
          <cell r="U153"/>
          <cell r="V153"/>
          <cell r="W153"/>
          <cell r="X153">
            <v>4.6639999999999997</v>
          </cell>
          <cell r="Y153">
            <v>0.19800000000000001</v>
          </cell>
          <cell r="Z153">
            <v>2.9239999999999999</v>
          </cell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 t="str">
            <v>0</v>
          </cell>
          <cell r="BK153">
            <v>0</v>
          </cell>
          <cell r="BL153">
            <v>0</v>
          </cell>
          <cell r="BM153" t="str">
            <v/>
          </cell>
          <cell r="BN153" t="str">
            <v>0</v>
          </cell>
          <cell r="BO153" t="str">
            <v/>
          </cell>
          <cell r="BP153">
            <v>2.5760000000000001</v>
          </cell>
          <cell r="BQ153">
            <v>1.93</v>
          </cell>
          <cell r="BR153">
            <v>-0.64600000000000013</v>
          </cell>
          <cell r="BS153">
            <v>186.33540372670808</v>
          </cell>
          <cell r="BT153">
            <v>248.70466321243524</v>
          </cell>
          <cell r="BU153">
            <v>-62.369259485727156</v>
          </cell>
          <cell r="BV153">
            <v>4.2214999999999998</v>
          </cell>
          <cell r="BW153">
            <v>2.59</v>
          </cell>
          <cell r="BX153">
            <v>-1.6315</v>
          </cell>
          <cell r="BY153">
            <v>113.703659836551</v>
          </cell>
          <cell r="BZ153">
            <v>185.32818532818533</v>
          </cell>
          <cell r="CA153">
            <v>-71.62452549163433</v>
          </cell>
          <cell r="CB153">
            <v>0.18149999999999999</v>
          </cell>
          <cell r="CC153">
            <v>0.1</v>
          </cell>
          <cell r="CD153">
            <v>-8.1499999999999989E-2</v>
          </cell>
          <cell r="CE153">
            <v>2644.6280991735539</v>
          </cell>
          <cell r="CF153">
            <v>4800</v>
          </cell>
          <cell r="CG153">
            <v>-2155.3719008264461</v>
          </cell>
          <cell r="CH153">
            <v>2.1595</v>
          </cell>
        </row>
        <row r="154">
          <cell r="A154" t="str">
            <v>TTC-105-1</v>
          </cell>
          <cell r="B154"/>
          <cell r="C154"/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>
            <v>2.3879999999999999</v>
          </cell>
          <cell r="AC154">
            <v>8.92</v>
          </cell>
          <cell r="AD154">
            <v>0.17599999999999999</v>
          </cell>
          <cell r="AE154">
            <v>1.9330000000000001</v>
          </cell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 t="str">
            <v>0</v>
          </cell>
          <cell r="BK154">
            <v>0</v>
          </cell>
          <cell r="BL154">
            <v>0</v>
          </cell>
          <cell r="BM154" t="str">
            <v/>
          </cell>
          <cell r="BN154" t="str">
            <v>0</v>
          </cell>
          <cell r="BO154" t="str">
            <v/>
          </cell>
          <cell r="BP154">
            <v>2.3879999999999999</v>
          </cell>
          <cell r="BQ154">
            <v>1.93</v>
          </cell>
          <cell r="BR154">
            <v>-0.45799999999999996</v>
          </cell>
          <cell r="BS154">
            <v>201.00502512562815</v>
          </cell>
          <cell r="BT154">
            <v>248.70466321243524</v>
          </cell>
          <cell r="BU154">
            <v>-47.699638086807084</v>
          </cell>
          <cell r="BV154">
            <v>8.92</v>
          </cell>
          <cell r="BW154">
            <v>2.63</v>
          </cell>
          <cell r="BX154">
            <v>-6.29</v>
          </cell>
          <cell r="BY154">
            <v>53.811659192825111</v>
          </cell>
          <cell r="BZ154">
            <v>182.50950570342206</v>
          </cell>
          <cell r="CA154">
            <v>-128.69784651059695</v>
          </cell>
          <cell r="CB154">
            <v>0.17599999999999999</v>
          </cell>
          <cell r="CC154">
            <v>0.1</v>
          </cell>
          <cell r="CD154">
            <v>-7.5999999999999984E-2</v>
          </cell>
          <cell r="CE154">
            <v>2727.2727272727275</v>
          </cell>
          <cell r="CF154">
            <v>4800</v>
          </cell>
          <cell r="CG154">
            <v>-2072.7272727272725</v>
          </cell>
          <cell r="CH154">
            <v>1.9330000000000001</v>
          </cell>
        </row>
        <row r="155">
          <cell r="A155" t="str">
            <v>TTC-108</v>
          </cell>
          <cell r="B155"/>
          <cell r="C155"/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>
            <v>0.14299999999999999</v>
          </cell>
          <cell r="U155">
            <v>1.4910000000000001</v>
          </cell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 t="str">
            <v>0</v>
          </cell>
          <cell r="BK155">
            <v>0</v>
          </cell>
          <cell r="BL155">
            <v>0</v>
          </cell>
          <cell r="BM155" t="str">
            <v/>
          </cell>
          <cell r="BN155" t="str">
            <v>0</v>
          </cell>
          <cell r="BO155" t="str">
            <v/>
          </cell>
          <cell r="BP155" t="str">
            <v>0</v>
          </cell>
          <cell r="BQ155">
            <v>0.96</v>
          </cell>
          <cell r="BR155">
            <v>0.96</v>
          </cell>
          <cell r="BS155" t="str">
            <v/>
          </cell>
          <cell r="BT155">
            <v>500</v>
          </cell>
          <cell r="BU155" t="str">
            <v/>
          </cell>
          <cell r="BV155" t="str">
            <v>0</v>
          </cell>
          <cell r="BW155">
            <v>3.34</v>
          </cell>
          <cell r="BX155">
            <v>3.34</v>
          </cell>
          <cell r="BY155" t="str">
            <v/>
          </cell>
          <cell r="BZ155">
            <v>143.7125748502994</v>
          </cell>
          <cell r="CA155" t="str">
            <v/>
          </cell>
          <cell r="CB155">
            <v>0.14299999999999999</v>
          </cell>
          <cell r="CC155">
            <v>0.1</v>
          </cell>
          <cell r="CD155">
            <v>-4.2999999999999983E-2</v>
          </cell>
          <cell r="CE155">
            <v>3356.643356643357</v>
          </cell>
          <cell r="CF155">
            <v>4800</v>
          </cell>
          <cell r="CG155">
            <v>-1443.356643356643</v>
          </cell>
          <cell r="CH155">
            <v>1.4910000000000001</v>
          </cell>
        </row>
        <row r="156">
          <cell r="A156" t="str">
            <v>TTC-108N</v>
          </cell>
          <cell r="B156"/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2.3650000000000002</v>
          </cell>
          <cell r="S156"/>
          <cell r="T156"/>
          <cell r="U156"/>
          <cell r="V156"/>
          <cell r="W156">
            <v>4</v>
          </cell>
          <cell r="X156">
            <v>1.5109999999999999</v>
          </cell>
          <cell r="Y156"/>
          <cell r="Z156">
            <v>2.89</v>
          </cell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 t="str">
            <v>0</v>
          </cell>
          <cell r="BK156">
            <v>0</v>
          </cell>
          <cell r="BL156">
            <v>0</v>
          </cell>
          <cell r="BM156" t="str">
            <v/>
          </cell>
          <cell r="BN156" t="str">
            <v>0</v>
          </cell>
          <cell r="BO156" t="str">
            <v/>
          </cell>
          <cell r="BP156">
            <v>3.1825000000000001</v>
          </cell>
          <cell r="BQ156">
            <v>0.72</v>
          </cell>
          <cell r="BR156">
            <v>-2.4625000000000004</v>
          </cell>
          <cell r="BS156">
            <v>150.82482325216026</v>
          </cell>
          <cell r="BT156">
            <v>666.66666666666674</v>
          </cell>
          <cell r="BU156">
            <v>-515.84184341450646</v>
          </cell>
          <cell r="BV156">
            <v>1.5109999999999999</v>
          </cell>
          <cell r="BW156">
            <v>2.08</v>
          </cell>
          <cell r="BX156">
            <v>0.56900000000000017</v>
          </cell>
          <cell r="BY156">
            <v>317.67041694242226</v>
          </cell>
          <cell r="BZ156">
            <v>230.76923076923077</v>
          </cell>
          <cell r="CA156">
            <v>86.901186173191491</v>
          </cell>
          <cell r="CB156" t="str">
            <v>0</v>
          </cell>
          <cell r="CC156">
            <v>0.09</v>
          </cell>
          <cell r="CD156">
            <v>0.09</v>
          </cell>
          <cell r="CE156" t="str">
            <v/>
          </cell>
          <cell r="CF156">
            <v>5333.3333333333339</v>
          </cell>
          <cell r="CG156" t="str">
            <v/>
          </cell>
          <cell r="CH156">
            <v>2.89</v>
          </cell>
        </row>
        <row r="157">
          <cell r="A157" t="str">
            <v>TTC-110</v>
          </cell>
          <cell r="B157"/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>
            <v>1.4179999999999999</v>
          </cell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 t="str">
            <v>0</v>
          </cell>
          <cell r="BK157">
            <v>0</v>
          </cell>
          <cell r="BL157">
            <v>0</v>
          </cell>
          <cell r="BM157" t="str">
            <v/>
          </cell>
          <cell r="BN157" t="str">
            <v>0</v>
          </cell>
          <cell r="BO157" t="str">
            <v/>
          </cell>
          <cell r="BP157" t="str">
            <v>0</v>
          </cell>
          <cell r="BQ157">
            <v>2.09</v>
          </cell>
          <cell r="BR157">
            <v>2.09</v>
          </cell>
          <cell r="BS157" t="str">
            <v/>
          </cell>
          <cell r="BT157">
            <v>229.66507177033495</v>
          </cell>
          <cell r="BU157" t="str">
            <v/>
          </cell>
          <cell r="BV157" t="str">
            <v>0</v>
          </cell>
          <cell r="BW157">
            <v>2.97</v>
          </cell>
          <cell r="BX157">
            <v>2.97</v>
          </cell>
          <cell r="BY157" t="str">
            <v/>
          </cell>
          <cell r="BZ157">
            <v>161.61616161616161</v>
          </cell>
          <cell r="CA157" t="str">
            <v/>
          </cell>
          <cell r="CB157" t="str">
            <v>0</v>
          </cell>
          <cell r="CC157">
            <v>0.1</v>
          </cell>
          <cell r="CD157">
            <v>0.1</v>
          </cell>
          <cell r="CE157" t="str">
            <v/>
          </cell>
          <cell r="CF157">
            <v>4800</v>
          </cell>
          <cell r="CG157" t="str">
            <v/>
          </cell>
          <cell r="CH157">
            <v>1.4179999999999999</v>
          </cell>
        </row>
        <row r="158">
          <cell r="A158" t="str">
            <v>TTC-142</v>
          </cell>
          <cell r="B158"/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>
            <v>2.3929999999999998</v>
          </cell>
          <cell r="X158">
            <v>5.7510000000000003</v>
          </cell>
          <cell r="Y158">
            <v>0.22600000000000001</v>
          </cell>
          <cell r="Z158">
            <v>2.1110000000000002</v>
          </cell>
          <cell r="AA158"/>
          <cell r="AB158">
            <v>1.429</v>
          </cell>
          <cell r="AC158">
            <v>3.6549999999999998</v>
          </cell>
          <cell r="AD158">
            <v>0.14199999999999999</v>
          </cell>
          <cell r="AE158">
            <v>1.8360000000000001</v>
          </cell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 t="str">
            <v>0</v>
          </cell>
          <cell r="BK158">
            <v>0</v>
          </cell>
          <cell r="BL158">
            <v>0</v>
          </cell>
          <cell r="BM158" t="str">
            <v/>
          </cell>
          <cell r="BN158" t="str">
            <v>0</v>
          </cell>
          <cell r="BO158" t="str">
            <v/>
          </cell>
          <cell r="BP158">
            <v>1.911</v>
          </cell>
          <cell r="BQ158">
            <v>1.6</v>
          </cell>
          <cell r="BR158">
            <v>-0.31099999999999994</v>
          </cell>
          <cell r="BS158">
            <v>251.17739403453689</v>
          </cell>
          <cell r="BT158">
            <v>300</v>
          </cell>
          <cell r="BU158">
            <v>-48.822605965463111</v>
          </cell>
          <cell r="BV158">
            <v>4.7030000000000003</v>
          </cell>
          <cell r="BW158">
            <v>2.86</v>
          </cell>
          <cell r="BX158">
            <v>-1.8430000000000004</v>
          </cell>
          <cell r="BY158">
            <v>102.06251328938974</v>
          </cell>
          <cell r="BZ158">
            <v>167.83216783216784</v>
          </cell>
          <cell r="CA158">
            <v>-65.769654542778099</v>
          </cell>
          <cell r="CB158">
            <v>0.184</v>
          </cell>
          <cell r="CC158">
            <v>0.1</v>
          </cell>
          <cell r="CD158">
            <v>-8.3999999999999991E-2</v>
          </cell>
          <cell r="CE158">
            <v>2608.695652173913</v>
          </cell>
          <cell r="CF158">
            <v>4800</v>
          </cell>
          <cell r="CG158">
            <v>-2191.304347826087</v>
          </cell>
          <cell r="CH158">
            <v>1.9735</v>
          </cell>
        </row>
        <row r="159">
          <cell r="A159" t="str">
            <v>TTC-167</v>
          </cell>
          <cell r="B159"/>
          <cell r="C159"/>
          <cell r="D159"/>
          <cell r="E159"/>
          <cell r="F159"/>
          <cell r="G159"/>
          <cell r="H159"/>
          <cell r="I159"/>
          <cell r="J159"/>
          <cell r="K159"/>
          <cell r="L159"/>
          <cell r="M159">
            <v>2.7320000000000002</v>
          </cell>
          <cell r="N159">
            <v>4.5999999999999996</v>
          </cell>
          <cell r="O159">
            <v>0.17100000000000001</v>
          </cell>
          <cell r="P159"/>
          <cell r="Q159"/>
          <cell r="R159">
            <v>2.1800000000000002</v>
          </cell>
          <cell r="S159"/>
          <cell r="T159"/>
          <cell r="U159">
            <v>1.2989999999999999</v>
          </cell>
          <cell r="V159"/>
          <cell r="W159">
            <v>2.3260000000000001</v>
          </cell>
          <cell r="X159">
            <v>4.05</v>
          </cell>
          <cell r="Y159">
            <v>0.17100000000000001</v>
          </cell>
          <cell r="Z159">
            <v>0.85399999999999998</v>
          </cell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 t="str">
            <v>0</v>
          </cell>
          <cell r="BK159">
            <v>0</v>
          </cell>
          <cell r="BL159">
            <v>0</v>
          </cell>
          <cell r="BM159" t="str">
            <v/>
          </cell>
          <cell r="BN159" t="str">
            <v>0</v>
          </cell>
          <cell r="BO159" t="str">
            <v/>
          </cell>
          <cell r="BP159">
            <v>2.412666666666667</v>
          </cell>
          <cell r="BQ159">
            <v>1.52</v>
          </cell>
          <cell r="BR159">
            <v>-0.89266666666666694</v>
          </cell>
          <cell r="BS159">
            <v>198.94998618402872</v>
          </cell>
          <cell r="BT159">
            <v>315.78947368421052</v>
          </cell>
          <cell r="BU159">
            <v>-116.8394875001818</v>
          </cell>
          <cell r="BV159">
            <v>4.3249999999999993</v>
          </cell>
          <cell r="BW159">
            <v>2.48</v>
          </cell>
          <cell r="BX159">
            <v>-1.8449999999999993</v>
          </cell>
          <cell r="BY159">
            <v>110.98265895953759</v>
          </cell>
          <cell r="BZ159">
            <v>193.54838709677421</v>
          </cell>
          <cell r="CA159">
            <v>-82.565728137236619</v>
          </cell>
          <cell r="CB159">
            <v>0.17100000000000001</v>
          </cell>
          <cell r="CC159">
            <v>0.1</v>
          </cell>
          <cell r="CD159">
            <v>-7.1000000000000008E-2</v>
          </cell>
          <cell r="CE159">
            <v>2807.0175438596489</v>
          </cell>
          <cell r="CF159">
            <v>4800</v>
          </cell>
          <cell r="CG159">
            <v>-1992.9824561403511</v>
          </cell>
          <cell r="CH159">
            <v>1.0765</v>
          </cell>
        </row>
        <row r="160">
          <cell r="A160" t="str">
            <v>TTC-170</v>
          </cell>
          <cell r="B160"/>
          <cell r="C160"/>
          <cell r="D160"/>
          <cell r="E160"/>
          <cell r="F160">
            <v>1.38</v>
          </cell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>
            <v>1.403</v>
          </cell>
          <cell r="S160">
            <v>7.665</v>
          </cell>
          <cell r="T160">
            <v>0.153</v>
          </cell>
          <cell r="U160">
            <v>1.5489999999999999</v>
          </cell>
          <cell r="V160"/>
          <cell r="W160"/>
          <cell r="X160"/>
          <cell r="Y160"/>
          <cell r="Z160"/>
          <cell r="AA160"/>
          <cell r="AB160">
            <v>1.3049999999999999</v>
          </cell>
          <cell r="AC160">
            <v>3.4750000000000001</v>
          </cell>
          <cell r="AD160">
            <v>0.191</v>
          </cell>
          <cell r="AE160">
            <v>0.70799999999999996</v>
          </cell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 t="str">
            <v>0</v>
          </cell>
          <cell r="BK160">
            <v>0</v>
          </cell>
          <cell r="BL160">
            <v>0</v>
          </cell>
          <cell r="BM160" t="str">
            <v/>
          </cell>
          <cell r="BN160" t="str">
            <v>0</v>
          </cell>
          <cell r="BO160" t="str">
            <v/>
          </cell>
          <cell r="BP160">
            <v>1.3540000000000001</v>
          </cell>
          <cell r="BQ160">
            <v>2.6669999999999998</v>
          </cell>
          <cell r="BR160">
            <v>1.3129999999999997</v>
          </cell>
          <cell r="BS160">
            <v>354.50516986706054</v>
          </cell>
          <cell r="BT160">
            <v>179.97750281214849</v>
          </cell>
          <cell r="BU160">
            <v>174.52766705491206</v>
          </cell>
          <cell r="BV160">
            <v>5.57</v>
          </cell>
          <cell r="BW160">
            <v>3.7189999999999999</v>
          </cell>
          <cell r="BX160">
            <v>-1.8510000000000004</v>
          </cell>
          <cell r="BY160">
            <v>86.175942549371626</v>
          </cell>
          <cell r="BZ160">
            <v>129.06695348211886</v>
          </cell>
          <cell r="CA160">
            <v>-42.891010932747236</v>
          </cell>
          <cell r="CB160">
            <v>0.17199999999999999</v>
          </cell>
          <cell r="CC160">
            <v>0.32900000000000001</v>
          </cell>
          <cell r="CD160">
            <v>0.15700000000000003</v>
          </cell>
          <cell r="CE160">
            <v>2790.6976744186049</v>
          </cell>
          <cell r="CF160">
            <v>1458.966565349544</v>
          </cell>
          <cell r="CG160">
            <v>1331.7311090690609</v>
          </cell>
          <cell r="CH160">
            <v>1.2123333333333333</v>
          </cell>
        </row>
        <row r="161">
          <cell r="A161" t="str">
            <v>TTC-264</v>
          </cell>
          <cell r="B161"/>
          <cell r="C161">
            <v>2.177</v>
          </cell>
          <cell r="D161">
            <v>3.1539999999999999</v>
          </cell>
          <cell r="E161">
            <v>0.17100000000000001</v>
          </cell>
          <cell r="F161">
            <v>1.591</v>
          </cell>
          <cell r="G161"/>
          <cell r="H161">
            <v>2.0910000000000002</v>
          </cell>
          <cell r="I161">
            <v>3.5</v>
          </cell>
          <cell r="J161">
            <v>0.22500000000000001</v>
          </cell>
          <cell r="K161">
            <v>1.5920000000000001</v>
          </cell>
          <cell r="L161"/>
          <cell r="M161"/>
          <cell r="N161">
            <v>3.2429999999999999</v>
          </cell>
          <cell r="O161">
            <v>0.17499999999999999</v>
          </cell>
          <cell r="P161">
            <v>2.976</v>
          </cell>
          <cell r="Q161"/>
          <cell r="R161"/>
          <cell r="S161"/>
          <cell r="T161"/>
          <cell r="U161">
            <v>1.3360000000000001</v>
          </cell>
          <cell r="V161"/>
          <cell r="W161">
            <v>2.92</v>
          </cell>
          <cell r="X161">
            <v>6.1239999999999997</v>
          </cell>
          <cell r="Y161">
            <v>0.17299999999999999</v>
          </cell>
          <cell r="Z161">
            <v>1.988</v>
          </cell>
          <cell r="AA161"/>
          <cell r="AB161">
            <v>3.0379999999999998</v>
          </cell>
          <cell r="AC161">
            <v>5.8079999999999998</v>
          </cell>
          <cell r="AD161">
            <v>0.22600000000000001</v>
          </cell>
          <cell r="AE161">
            <v>2.0459999999999998</v>
          </cell>
          <cell r="AF161"/>
          <cell r="AG161"/>
          <cell r="AH161"/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  <cell r="BE161"/>
          <cell r="BF161"/>
          <cell r="BG161"/>
          <cell r="BH161"/>
          <cell r="BI161"/>
          <cell r="BJ161" t="str">
            <v>0</v>
          </cell>
          <cell r="BK161">
            <v>0</v>
          </cell>
          <cell r="BL161">
            <v>0</v>
          </cell>
          <cell r="BM161" t="str">
            <v/>
          </cell>
          <cell r="BN161" t="str">
            <v>0</v>
          </cell>
          <cell r="BO161" t="str">
            <v/>
          </cell>
          <cell r="BP161">
            <v>2.5565000000000002</v>
          </cell>
          <cell r="BQ161">
            <v>0.49</v>
          </cell>
          <cell r="BR161">
            <v>-2.0665000000000004</v>
          </cell>
          <cell r="BS161">
            <v>187.75669861138275</v>
          </cell>
          <cell r="BT161">
            <v>979.59183673469386</v>
          </cell>
          <cell r="BU161">
            <v>-791.83513812331114</v>
          </cell>
          <cell r="BV161">
            <v>4.3658000000000001</v>
          </cell>
          <cell r="BW161">
            <v>2.23</v>
          </cell>
          <cell r="BX161">
            <v>-2.1358000000000001</v>
          </cell>
          <cell r="BY161">
            <v>109.94548536350726</v>
          </cell>
          <cell r="BZ161">
            <v>215.24663677130044</v>
          </cell>
          <cell r="CA161">
            <v>-105.30115140779318</v>
          </cell>
          <cell r="CB161">
            <v>0.19400000000000001</v>
          </cell>
          <cell r="CC161">
            <v>0.1</v>
          </cell>
          <cell r="CD161">
            <v>-9.4E-2</v>
          </cell>
          <cell r="CE161">
            <v>2474.2268041237112</v>
          </cell>
          <cell r="CF161">
            <v>4800</v>
          </cell>
          <cell r="CG161">
            <v>-2325.7731958762888</v>
          </cell>
          <cell r="CH161">
            <v>1.9215</v>
          </cell>
        </row>
        <row r="162">
          <cell r="A162" t="str">
            <v>TTC-5014</v>
          </cell>
          <cell r="B162"/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/>
          <cell r="W162">
            <v>2.3580000000000001</v>
          </cell>
          <cell r="X162">
            <v>6.7320000000000002</v>
          </cell>
          <cell r="Y162">
            <v>0.23300000000000001</v>
          </cell>
          <cell r="Z162">
            <v>1.8380000000000001</v>
          </cell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/>
          <cell r="BI162"/>
          <cell r="BJ162" t="str">
            <v>0</v>
          </cell>
          <cell r="BK162">
            <v>0</v>
          </cell>
          <cell r="BL162">
            <v>0</v>
          </cell>
          <cell r="BM162" t="str">
            <v/>
          </cell>
          <cell r="BN162" t="str">
            <v>0</v>
          </cell>
          <cell r="BO162" t="str">
            <v/>
          </cell>
          <cell r="BP162">
            <v>2.3580000000000001</v>
          </cell>
          <cell r="BQ162">
            <v>2.4</v>
          </cell>
          <cell r="BR162">
            <v>4.1999999999999815E-2</v>
          </cell>
          <cell r="BS162">
            <v>203.56234096692111</v>
          </cell>
          <cell r="BT162">
            <v>200</v>
          </cell>
          <cell r="BU162">
            <v>3.5623409669211128</v>
          </cell>
          <cell r="BV162">
            <v>6.7320000000000002</v>
          </cell>
          <cell r="BW162">
            <v>4.38</v>
          </cell>
          <cell r="BX162">
            <v>-2.3520000000000003</v>
          </cell>
          <cell r="BY162">
            <v>71.301247771836003</v>
          </cell>
          <cell r="BZ162">
            <v>109.58904109589041</v>
          </cell>
          <cell r="CA162">
            <v>-38.287793324054405</v>
          </cell>
          <cell r="CB162">
            <v>0.23300000000000001</v>
          </cell>
          <cell r="CC162">
            <v>0.1</v>
          </cell>
          <cell r="CD162">
            <v>-0.13300000000000001</v>
          </cell>
          <cell r="CE162">
            <v>2060.085836909871</v>
          </cell>
          <cell r="CF162">
            <v>4800</v>
          </cell>
          <cell r="CG162">
            <v>-2739.914163090129</v>
          </cell>
          <cell r="CH162">
            <v>1.8380000000000001</v>
          </cell>
        </row>
        <row r="163">
          <cell r="A163" t="str">
            <v>TTC-5017</v>
          </cell>
          <cell r="B163"/>
          <cell r="C163">
            <v>1.6379999999999999</v>
          </cell>
          <cell r="D163">
            <v>3.3889999999999998</v>
          </cell>
          <cell r="E163">
            <v>0.17799999999999999</v>
          </cell>
          <cell r="F163">
            <v>1.2829999999999999</v>
          </cell>
          <cell r="G163"/>
          <cell r="H163"/>
          <cell r="I163"/>
          <cell r="J163"/>
          <cell r="K163"/>
          <cell r="L163"/>
          <cell r="M163">
            <v>1.917</v>
          </cell>
          <cell r="N163">
            <v>1.9379999999999999</v>
          </cell>
          <cell r="O163">
            <v>0.14699999999999999</v>
          </cell>
          <cell r="P163">
            <v>0.878</v>
          </cell>
          <cell r="Q163"/>
          <cell r="R163"/>
          <cell r="S163"/>
          <cell r="T163"/>
          <cell r="U163"/>
          <cell r="V163"/>
          <cell r="W163">
            <v>2.5</v>
          </cell>
          <cell r="X163"/>
          <cell r="Y163"/>
          <cell r="Z163">
            <v>1.25</v>
          </cell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 t="str">
            <v>0</v>
          </cell>
          <cell r="BK163">
            <v>0</v>
          </cell>
          <cell r="BL163">
            <v>0</v>
          </cell>
          <cell r="BM163" t="str">
            <v/>
          </cell>
          <cell r="BN163" t="str">
            <v>0</v>
          </cell>
          <cell r="BO163" t="str">
            <v/>
          </cell>
          <cell r="BP163">
            <v>2.0183333333333331</v>
          </cell>
          <cell r="BQ163">
            <v>2.4</v>
          </cell>
          <cell r="BR163">
            <v>0.38166666666666682</v>
          </cell>
          <cell r="BS163">
            <v>237.81998348472339</v>
          </cell>
          <cell r="BT163">
            <v>200</v>
          </cell>
          <cell r="BU163">
            <v>37.819983484723394</v>
          </cell>
          <cell r="BV163">
            <v>2.6635</v>
          </cell>
          <cell r="BW163">
            <v>4.38</v>
          </cell>
          <cell r="BX163">
            <v>1.7164999999999999</v>
          </cell>
          <cell r="BY163">
            <v>180.21400412990425</v>
          </cell>
          <cell r="BZ163">
            <v>109.58904109589041</v>
          </cell>
          <cell r="CA163">
            <v>70.624963034013845</v>
          </cell>
          <cell r="CB163">
            <v>0.16249999999999998</v>
          </cell>
          <cell r="CC163">
            <v>0.1</v>
          </cell>
          <cell r="CD163">
            <v>-6.2499999999999972E-2</v>
          </cell>
          <cell r="CE163">
            <v>2953.8461538461543</v>
          </cell>
          <cell r="CF163">
            <v>4800</v>
          </cell>
          <cell r="CG163">
            <v>-1846.1538461538457</v>
          </cell>
          <cell r="CH163">
            <v>1.137</v>
          </cell>
        </row>
        <row r="164">
          <cell r="A164" t="str">
            <v>TTC-5020</v>
          </cell>
          <cell r="B164"/>
          <cell r="C164">
            <v>2.02</v>
          </cell>
          <cell r="D164">
            <v>2.964</v>
          </cell>
          <cell r="E164">
            <v>0.158</v>
          </cell>
          <cell r="F164">
            <v>1.19</v>
          </cell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/>
          <cell r="BG164"/>
          <cell r="BH164"/>
          <cell r="BI164"/>
          <cell r="BJ164" t="str">
            <v>0</v>
          </cell>
          <cell r="BK164">
            <v>0</v>
          </cell>
          <cell r="BL164">
            <v>0</v>
          </cell>
          <cell r="BM164" t="str">
            <v/>
          </cell>
          <cell r="BN164" t="str">
            <v>0</v>
          </cell>
          <cell r="BO164" t="str">
            <v/>
          </cell>
          <cell r="BP164">
            <v>2.02</v>
          </cell>
          <cell r="BQ164">
            <v>0.64</v>
          </cell>
          <cell r="BR164">
            <v>-1.38</v>
          </cell>
          <cell r="BS164">
            <v>237.62376237623764</v>
          </cell>
          <cell r="BT164">
            <v>750</v>
          </cell>
          <cell r="BU164">
            <v>-512.37623762376234</v>
          </cell>
          <cell r="BV164">
            <v>2.964</v>
          </cell>
          <cell r="BW164">
            <v>2.1879999999999997</v>
          </cell>
          <cell r="BX164">
            <v>-0.77600000000000025</v>
          </cell>
          <cell r="BY164">
            <v>161.94331983805668</v>
          </cell>
          <cell r="BZ164">
            <v>219.37842778793421</v>
          </cell>
          <cell r="CA164">
            <v>-57.435107949877533</v>
          </cell>
          <cell r="CB164">
            <v>0.158</v>
          </cell>
          <cell r="CC164">
            <v>0.1</v>
          </cell>
          <cell r="CD164">
            <v>-5.7999999999999996E-2</v>
          </cell>
          <cell r="CE164">
            <v>3037.9746835443038</v>
          </cell>
          <cell r="CF164">
            <v>4800</v>
          </cell>
          <cell r="CG164">
            <v>-1762.0253164556962</v>
          </cell>
          <cell r="CH164">
            <v>1.19</v>
          </cell>
        </row>
        <row r="165">
          <cell r="A165" t="str">
            <v>TTC-5028</v>
          </cell>
          <cell r="B165"/>
          <cell r="C165">
            <v>1.99</v>
          </cell>
          <cell r="D165">
            <v>2.6890000000000001</v>
          </cell>
          <cell r="E165">
            <v>0.17399999999999999</v>
          </cell>
          <cell r="F165">
            <v>0.84199999999999997</v>
          </cell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/>
          <cell r="BF165"/>
          <cell r="BG165"/>
          <cell r="BH165"/>
          <cell r="BI165"/>
          <cell r="BJ165" t="str">
            <v>0</v>
          </cell>
          <cell r="BK165">
            <v>0</v>
          </cell>
          <cell r="BL165">
            <v>0</v>
          </cell>
          <cell r="BM165" t="str">
            <v/>
          </cell>
          <cell r="BN165" t="str">
            <v>0</v>
          </cell>
          <cell r="BO165" t="str">
            <v/>
          </cell>
          <cell r="BP165">
            <v>1.99</v>
          </cell>
          <cell r="BQ165">
            <v>1.6</v>
          </cell>
          <cell r="BR165">
            <v>-0.3899999999999999</v>
          </cell>
          <cell r="BS165">
            <v>241.20603015075378</v>
          </cell>
          <cell r="BT165">
            <v>300</v>
          </cell>
          <cell r="BU165">
            <v>-58.793969849246224</v>
          </cell>
          <cell r="BV165">
            <v>2.6890000000000001</v>
          </cell>
          <cell r="BW165">
            <v>2.67</v>
          </cell>
          <cell r="BX165">
            <v>-1.9000000000000128E-2</v>
          </cell>
          <cell r="BY165">
            <v>178.50502045370027</v>
          </cell>
          <cell r="BZ165">
            <v>179.77528089887642</v>
          </cell>
          <cell r="CA165">
            <v>-1.2702604451761488</v>
          </cell>
          <cell r="CB165">
            <v>0.17399999999999999</v>
          </cell>
          <cell r="CC165">
            <v>0.1</v>
          </cell>
          <cell r="CD165">
            <v>-7.3999999999999982E-2</v>
          </cell>
          <cell r="CE165">
            <v>2758.6206896551726</v>
          </cell>
          <cell r="CF165">
            <v>4800</v>
          </cell>
          <cell r="CG165">
            <v>-2041.3793103448274</v>
          </cell>
          <cell r="CH165">
            <v>0.84199999999999997</v>
          </cell>
        </row>
        <row r="166">
          <cell r="A166" t="str">
            <v>X9222A0</v>
          </cell>
          <cell r="B166"/>
          <cell r="C166"/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>
            <v>1.1659999999999999</v>
          </cell>
          <cell r="R166">
            <v>0.48199999999999998</v>
          </cell>
          <cell r="S166">
            <v>2.7949999999999999</v>
          </cell>
          <cell r="T166">
            <v>0.185</v>
          </cell>
          <cell r="U166">
            <v>1.782</v>
          </cell>
          <cell r="V166"/>
          <cell r="W166"/>
          <cell r="X166"/>
          <cell r="Y166"/>
          <cell r="Z166"/>
          <cell r="AA166"/>
          <cell r="AB166"/>
          <cell r="AC166">
            <v>7.5</v>
          </cell>
          <cell r="AD166">
            <v>0.20499999999999999</v>
          </cell>
          <cell r="AE166">
            <v>2.105</v>
          </cell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AY166"/>
          <cell r="AZ166"/>
          <cell r="BA166"/>
          <cell r="BB166"/>
          <cell r="BC166"/>
          <cell r="BD166"/>
          <cell r="BE166"/>
          <cell r="BF166"/>
          <cell r="BG166"/>
          <cell r="BH166"/>
          <cell r="BI166"/>
          <cell r="BJ166">
            <v>1.1659999999999999</v>
          </cell>
          <cell r="BK166">
            <v>0</v>
          </cell>
          <cell r="BL166">
            <v>-1.1659999999999999</v>
          </cell>
          <cell r="BM166">
            <v>411.66380789022298</v>
          </cell>
          <cell r="BN166" t="str">
            <v>0</v>
          </cell>
          <cell r="BO166">
            <v>411.66380789022298</v>
          </cell>
          <cell r="BP166">
            <v>0.48199999999999998</v>
          </cell>
          <cell r="BQ166">
            <v>1.712</v>
          </cell>
          <cell r="BR166">
            <v>1.23</v>
          </cell>
          <cell r="BS166">
            <v>995.85062240663899</v>
          </cell>
          <cell r="BT166">
            <v>280.37383177570092</v>
          </cell>
          <cell r="BU166">
            <v>715.47679063093801</v>
          </cell>
          <cell r="BV166">
            <v>5.1475</v>
          </cell>
          <cell r="BW166">
            <v>2.5740000000000003</v>
          </cell>
          <cell r="BX166">
            <v>-2.5734999999999997</v>
          </cell>
          <cell r="BY166">
            <v>93.249150072850895</v>
          </cell>
          <cell r="BZ166">
            <v>186.48018648018646</v>
          </cell>
          <cell r="CA166">
            <v>-93.231036407335566</v>
          </cell>
          <cell r="CB166">
            <v>0.19500000000000001</v>
          </cell>
          <cell r="CC166">
            <v>0.127</v>
          </cell>
          <cell r="CD166">
            <v>-6.8000000000000005E-2</v>
          </cell>
          <cell r="CE166">
            <v>2461.5384615384614</v>
          </cell>
          <cell r="CF166">
            <v>3779.5275590551182</v>
          </cell>
          <cell r="CG166">
            <v>-1317.9890975166568</v>
          </cell>
          <cell r="CH166">
            <v>1.9435</v>
          </cell>
        </row>
        <row r="167">
          <cell r="A167" t="str">
            <v>XW605A0</v>
          </cell>
          <cell r="B167"/>
          <cell r="C167"/>
          <cell r="D167"/>
          <cell r="E167"/>
          <cell r="F167"/>
          <cell r="G167">
            <v>0.74399999999999999</v>
          </cell>
          <cell r="H167">
            <v>0.74399999999999999</v>
          </cell>
          <cell r="I167">
            <v>2.4790000000000001</v>
          </cell>
          <cell r="J167">
            <v>0.157</v>
          </cell>
          <cell r="K167">
            <v>1.786</v>
          </cell>
          <cell r="L167"/>
          <cell r="M167"/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>
            <v>0.496</v>
          </cell>
          <cell r="AB167">
            <v>0.5</v>
          </cell>
          <cell r="AC167">
            <v>11.667</v>
          </cell>
          <cell r="AD167">
            <v>0.17499999999999999</v>
          </cell>
          <cell r="AE167">
            <v>1.125</v>
          </cell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>
            <v>0.62</v>
          </cell>
          <cell r="BK167">
            <v>0</v>
          </cell>
          <cell r="BL167">
            <v>-0.62</v>
          </cell>
          <cell r="BM167">
            <v>774.19354838709683</v>
          </cell>
          <cell r="BN167" t="str">
            <v>0</v>
          </cell>
          <cell r="BO167">
            <v>774.19354838709683</v>
          </cell>
          <cell r="BP167">
            <v>0.622</v>
          </cell>
          <cell r="BQ167">
            <v>0.96</v>
          </cell>
          <cell r="BR167">
            <v>0.33799999999999997</v>
          </cell>
          <cell r="BS167">
            <v>771.70418006430873</v>
          </cell>
          <cell r="BT167">
            <v>500</v>
          </cell>
          <cell r="BU167">
            <v>271.70418006430873</v>
          </cell>
          <cell r="BV167">
            <v>7.0730000000000004</v>
          </cell>
          <cell r="BW167">
            <v>1.8399999999999999</v>
          </cell>
          <cell r="BX167">
            <v>-5.2330000000000005</v>
          </cell>
          <cell r="BY167">
            <v>67.863707054997874</v>
          </cell>
          <cell r="BZ167">
            <v>260.86956521739131</v>
          </cell>
          <cell r="CA167">
            <v>-193.00585816239345</v>
          </cell>
          <cell r="CB167">
            <v>0.16599999999999998</v>
          </cell>
          <cell r="CC167">
            <v>0.1</v>
          </cell>
          <cell r="CD167">
            <v>-6.5999999999999975E-2</v>
          </cell>
          <cell r="CE167">
            <v>2891.5662650602412</v>
          </cell>
          <cell r="CF167">
            <v>4800</v>
          </cell>
          <cell r="CG167">
            <v>-1908.4337349397588</v>
          </cell>
          <cell r="CH167">
            <v>1.4555</v>
          </cell>
        </row>
        <row r="168">
          <cell r="A168" t="str">
            <v>YC636A0</v>
          </cell>
          <cell r="B168">
            <v>0.74399999999999999</v>
          </cell>
          <cell r="C168">
            <v>0.496</v>
          </cell>
          <cell r="D168">
            <v>3.7189999999999999</v>
          </cell>
          <cell r="E168">
            <v>0.19</v>
          </cell>
          <cell r="F168">
            <v>1.667</v>
          </cell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>
            <v>0.56799999999999995</v>
          </cell>
          <cell r="AB168">
            <v>0.375</v>
          </cell>
          <cell r="AC168">
            <v>7.39</v>
          </cell>
          <cell r="AD168">
            <v>0.184</v>
          </cell>
          <cell r="AE168">
            <v>1.4339999999999999</v>
          </cell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>
            <v>0.65599999999999992</v>
          </cell>
          <cell r="BK168">
            <v>0</v>
          </cell>
          <cell r="BL168">
            <v>-0.65599999999999992</v>
          </cell>
          <cell r="BM168">
            <v>731.70731707317077</v>
          </cell>
          <cell r="BN168" t="str">
            <v>0</v>
          </cell>
          <cell r="BO168">
            <v>731.70731707317077</v>
          </cell>
          <cell r="BP168">
            <v>0.4355</v>
          </cell>
          <cell r="BQ168">
            <v>2.0369999999999999</v>
          </cell>
          <cell r="BR168">
            <v>1.6014999999999999</v>
          </cell>
          <cell r="BS168">
            <v>1102.1814006888633</v>
          </cell>
          <cell r="BT168">
            <v>235.64064801178205</v>
          </cell>
          <cell r="BU168">
            <v>866.54075267708117</v>
          </cell>
          <cell r="BV168">
            <v>5.5545</v>
          </cell>
          <cell r="BW168">
            <v>2.754</v>
          </cell>
          <cell r="BX168">
            <v>-2.8005</v>
          </cell>
          <cell r="BY168">
            <v>86.416419119632735</v>
          </cell>
          <cell r="BZ168">
            <v>174.29193899782135</v>
          </cell>
          <cell r="CA168">
            <v>-87.875519878188612</v>
          </cell>
          <cell r="CB168">
            <v>0.187</v>
          </cell>
          <cell r="CC168">
            <v>0.14000000000000001</v>
          </cell>
          <cell r="CD168">
            <v>-4.6999999999999986E-2</v>
          </cell>
          <cell r="CE168">
            <v>2566.8449197860964</v>
          </cell>
          <cell r="CF168">
            <v>3428.5714285714284</v>
          </cell>
          <cell r="CG168">
            <v>-861.72650878533204</v>
          </cell>
          <cell r="CH168">
            <v>1.5505</v>
          </cell>
        </row>
        <row r="169">
          <cell r="A169" t="str">
            <v>YC638A0</v>
          </cell>
          <cell r="B169">
            <v>1.097</v>
          </cell>
          <cell r="C169">
            <v>0.99299999999999999</v>
          </cell>
          <cell r="D169">
            <v>5.0940000000000003</v>
          </cell>
          <cell r="E169">
            <v>0.16700000000000001</v>
          </cell>
          <cell r="F169">
            <v>1.3959999999999999</v>
          </cell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  <cell r="BE169"/>
          <cell r="BF169"/>
          <cell r="BG169"/>
          <cell r="BH169"/>
          <cell r="BI169"/>
          <cell r="BJ169">
            <v>1.097</v>
          </cell>
          <cell r="BK169">
            <v>0</v>
          </cell>
          <cell r="BL169">
            <v>-1.097</v>
          </cell>
          <cell r="BM169">
            <v>437.55697356426617</v>
          </cell>
          <cell r="BN169" t="str">
            <v>0</v>
          </cell>
          <cell r="BO169">
            <v>437.55697356426617</v>
          </cell>
          <cell r="BP169">
            <v>0.99299999999999999</v>
          </cell>
          <cell r="BQ169">
            <v>3.0819999999999999</v>
          </cell>
          <cell r="BR169">
            <v>2.089</v>
          </cell>
          <cell r="BS169">
            <v>483.38368580060421</v>
          </cell>
          <cell r="BT169">
            <v>155.74302401038287</v>
          </cell>
          <cell r="BU169">
            <v>327.64066179022132</v>
          </cell>
          <cell r="BV169">
            <v>5.0940000000000003</v>
          </cell>
          <cell r="BW169">
            <v>3.4319999999999999</v>
          </cell>
          <cell r="BX169">
            <v>-1.6620000000000004</v>
          </cell>
          <cell r="BY169">
            <v>94.228504122497043</v>
          </cell>
          <cell r="BZ169">
            <v>139.86013986013987</v>
          </cell>
          <cell r="CA169">
            <v>-45.631635737642824</v>
          </cell>
          <cell r="CB169">
            <v>0.16700000000000001</v>
          </cell>
          <cell r="CC169">
            <v>0.159</v>
          </cell>
          <cell r="CD169">
            <v>-8.0000000000000071E-3</v>
          </cell>
          <cell r="CE169">
            <v>2874.2514970059879</v>
          </cell>
          <cell r="CF169">
            <v>3018.867924528302</v>
          </cell>
          <cell r="CG169">
            <v>-144.6164275223141</v>
          </cell>
          <cell r="CH169">
            <v>1.3959999999999999</v>
          </cell>
        </row>
        <row r="170">
          <cell r="A170" t="str">
            <v>YC639A0</v>
          </cell>
          <cell r="B170">
            <v>0.75</v>
          </cell>
          <cell r="C170">
            <v>0.5</v>
          </cell>
          <cell r="D170">
            <v>3.7189999999999999</v>
          </cell>
          <cell r="E170">
            <v>0.157</v>
          </cell>
          <cell r="F170">
            <v>0.83299999999999996</v>
          </cell>
          <cell r="G170">
            <v>0.88300000000000001</v>
          </cell>
          <cell r="H170">
            <v>0.40799999999999997</v>
          </cell>
          <cell r="I170">
            <v>4.0350000000000001</v>
          </cell>
          <cell r="J170">
            <v>0.14099999999999999</v>
          </cell>
          <cell r="K170">
            <v>0.95099999999999996</v>
          </cell>
          <cell r="L170"/>
          <cell r="M170"/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>
            <v>0.90300000000000002</v>
          </cell>
          <cell r="AB170">
            <v>0.86699999999999999</v>
          </cell>
          <cell r="AC170">
            <v>3.5339999999999998</v>
          </cell>
          <cell r="AD170">
            <v>0.17799999999999999</v>
          </cell>
          <cell r="AE170">
            <v>1.143</v>
          </cell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/>
          <cell r="BA170"/>
          <cell r="BB170"/>
          <cell r="BC170"/>
          <cell r="BD170"/>
          <cell r="BE170"/>
          <cell r="BF170"/>
          <cell r="BG170"/>
          <cell r="BH170"/>
          <cell r="BI170"/>
          <cell r="BJ170">
            <v>0.84533333333333338</v>
          </cell>
          <cell r="BK170">
            <v>0</v>
          </cell>
          <cell r="BL170">
            <v>-0.84533333333333338</v>
          </cell>
          <cell r="BM170">
            <v>567.82334384858041</v>
          </cell>
          <cell r="BN170" t="str">
            <v>0</v>
          </cell>
          <cell r="BO170">
            <v>567.82334384858041</v>
          </cell>
          <cell r="BP170">
            <v>0.59166666666666667</v>
          </cell>
          <cell r="BQ170">
            <v>1.6619999999999999</v>
          </cell>
          <cell r="BR170">
            <v>1.0703333333333331</v>
          </cell>
          <cell r="BS170">
            <v>811.26760563380276</v>
          </cell>
          <cell r="BT170">
            <v>288.80866425992781</v>
          </cell>
          <cell r="BU170">
            <v>522.45894137387495</v>
          </cell>
          <cell r="BV170">
            <v>3.7626666666666666</v>
          </cell>
          <cell r="BW170">
            <v>2.17</v>
          </cell>
          <cell r="BX170">
            <v>-1.5926666666666667</v>
          </cell>
          <cell r="BY170">
            <v>127.56909992912828</v>
          </cell>
          <cell r="BZ170">
            <v>221.19815668202764</v>
          </cell>
          <cell r="CA170">
            <v>-93.629056752899359</v>
          </cell>
          <cell r="CB170">
            <v>0.15866666666666665</v>
          </cell>
          <cell r="CC170">
            <v>0.111</v>
          </cell>
          <cell r="CD170">
            <v>-4.7666666666666649E-2</v>
          </cell>
          <cell r="CE170">
            <v>3025.2100840336138</v>
          </cell>
          <cell r="CF170">
            <v>4324.3243243243242</v>
          </cell>
          <cell r="CG170">
            <v>-1299.1142402907103</v>
          </cell>
          <cell r="CH170">
            <v>0.97566666666666657</v>
          </cell>
        </row>
        <row r="171">
          <cell r="A171" t="str">
            <v>YC771A0</v>
          </cell>
          <cell r="B171">
            <v>0.56000000000000005</v>
          </cell>
          <cell r="C171">
            <v>0.434</v>
          </cell>
          <cell r="D171">
            <v>4.6319999999999997</v>
          </cell>
          <cell r="E171">
            <v>0.17100000000000001</v>
          </cell>
          <cell r="F171">
            <v>1.3220000000000001</v>
          </cell>
          <cell r="G171"/>
          <cell r="H171"/>
          <cell r="I171"/>
          <cell r="J171"/>
          <cell r="K171"/>
          <cell r="L171"/>
          <cell r="M171"/>
          <cell r="N171">
            <v>4.07</v>
          </cell>
          <cell r="O171">
            <v>0.17599999999999999</v>
          </cell>
          <cell r="P171">
            <v>1.782</v>
          </cell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>
            <v>0.47099999999999997</v>
          </cell>
          <cell r="AB171">
            <v>0.85299999999999998</v>
          </cell>
          <cell r="AC171">
            <v>2.5</v>
          </cell>
          <cell r="AD171">
            <v>0.19400000000000001</v>
          </cell>
          <cell r="AE171">
            <v>0.88400000000000001</v>
          </cell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  <cell r="BE171"/>
          <cell r="BF171"/>
          <cell r="BG171"/>
          <cell r="BH171"/>
          <cell r="BI171"/>
          <cell r="BJ171">
            <v>0.51550000000000007</v>
          </cell>
          <cell r="BK171">
            <v>0</v>
          </cell>
          <cell r="BL171">
            <v>-0.51550000000000007</v>
          </cell>
          <cell r="BM171">
            <v>931.13482056256055</v>
          </cell>
          <cell r="BN171" t="str">
            <v>0</v>
          </cell>
          <cell r="BO171">
            <v>931.13482056256055</v>
          </cell>
          <cell r="BP171">
            <v>0.64349999999999996</v>
          </cell>
          <cell r="BQ171">
            <v>1.47</v>
          </cell>
          <cell r="BR171">
            <v>0.82650000000000001</v>
          </cell>
          <cell r="BS171">
            <v>745.92074592074596</v>
          </cell>
          <cell r="BT171">
            <v>326.53061224489795</v>
          </cell>
          <cell r="BU171">
            <v>419.39013367584801</v>
          </cell>
          <cell r="BV171">
            <v>3.734</v>
          </cell>
          <cell r="BW171">
            <v>1.9099999999999997</v>
          </cell>
          <cell r="BX171">
            <v>-1.8240000000000003</v>
          </cell>
          <cell r="BY171">
            <v>128.54847348687736</v>
          </cell>
          <cell r="BZ171">
            <v>251.30890052356025</v>
          </cell>
          <cell r="CA171">
            <v>-122.7604270366829</v>
          </cell>
          <cell r="CB171">
            <v>0.18033333333333332</v>
          </cell>
          <cell r="CC171">
            <v>0.1</v>
          </cell>
          <cell r="CD171">
            <v>-8.0333333333333312E-2</v>
          </cell>
          <cell r="CE171">
            <v>2661.7375231053607</v>
          </cell>
          <cell r="CF171">
            <v>4800</v>
          </cell>
          <cell r="CG171">
            <v>-2138.2624768946393</v>
          </cell>
          <cell r="CH171">
            <v>1.3293333333333333</v>
          </cell>
        </row>
        <row r="172">
          <cell r="A172" t="str">
            <v>YC772A0</v>
          </cell>
          <cell r="B172">
            <v>1.2170000000000001</v>
          </cell>
          <cell r="C172">
            <v>0.40600000000000003</v>
          </cell>
          <cell r="D172">
            <v>2.0619999999999998</v>
          </cell>
          <cell r="E172">
            <v>0.17100000000000001</v>
          </cell>
          <cell r="F172">
            <v>1.2290000000000001</v>
          </cell>
          <cell r="G172">
            <v>1.4119999999999999</v>
          </cell>
          <cell r="H172">
            <v>0.496</v>
          </cell>
          <cell r="I172"/>
          <cell r="J172"/>
          <cell r="K172"/>
          <cell r="L172"/>
          <cell r="M172">
            <v>0.54600000000000004</v>
          </cell>
          <cell r="N172">
            <v>2.9169999999999998</v>
          </cell>
          <cell r="O172">
            <v>0.158</v>
          </cell>
          <cell r="P172">
            <v>1.9510000000000001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>
            <v>1.3580000000000001</v>
          </cell>
          <cell r="AB172">
            <v>0.66700000000000004</v>
          </cell>
          <cell r="AC172">
            <v>3.2669999999999999</v>
          </cell>
          <cell r="AD172">
            <v>0.184</v>
          </cell>
          <cell r="AE172">
            <v>1.0009999999999999</v>
          </cell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>
            <v>1.329</v>
          </cell>
          <cell r="BK172">
            <v>0</v>
          </cell>
          <cell r="BL172">
            <v>-1.329</v>
          </cell>
          <cell r="BM172">
            <v>361.17381489841989</v>
          </cell>
          <cell r="BN172" t="str">
            <v>0</v>
          </cell>
          <cell r="BO172">
            <v>361.17381489841989</v>
          </cell>
          <cell r="BP172">
            <v>0.52875000000000005</v>
          </cell>
          <cell r="BQ172">
            <v>0.92600000000000005</v>
          </cell>
          <cell r="BR172">
            <v>0.39724999999999999</v>
          </cell>
          <cell r="BS172">
            <v>907.80141843971626</v>
          </cell>
          <cell r="BT172">
            <v>518.35853131749457</v>
          </cell>
          <cell r="BU172">
            <v>389.44288712222169</v>
          </cell>
          <cell r="BV172">
            <v>2.7486666666666664</v>
          </cell>
          <cell r="BW172">
            <v>1</v>
          </cell>
          <cell r="BX172">
            <v>-1.7486666666666664</v>
          </cell>
          <cell r="BY172">
            <v>174.63012369633765</v>
          </cell>
          <cell r="BZ172">
            <v>480</v>
          </cell>
          <cell r="CA172">
            <v>-305.36987630366235</v>
          </cell>
          <cell r="CB172">
            <v>0.17100000000000001</v>
          </cell>
          <cell r="CC172">
            <v>4.9000000000000002E-2</v>
          </cell>
          <cell r="CD172">
            <v>-0.12200000000000001</v>
          </cell>
          <cell r="CE172">
            <v>2807.0175438596489</v>
          </cell>
          <cell r="CF172">
            <v>9795.9183673469379</v>
          </cell>
          <cell r="CG172">
            <v>-6988.900823487289</v>
          </cell>
          <cell r="CH172">
            <v>1.3936666666666666</v>
          </cell>
        </row>
        <row r="173">
          <cell r="A173" t="str">
            <v>YC774A0</v>
          </cell>
          <cell r="B173"/>
          <cell r="C173"/>
          <cell r="D173"/>
          <cell r="E173"/>
          <cell r="F173"/>
          <cell r="G173">
            <v>0.88400000000000001</v>
          </cell>
          <cell r="H173">
            <v>0.47199999999999998</v>
          </cell>
          <cell r="I173">
            <v>2</v>
          </cell>
          <cell r="J173"/>
          <cell r="K173"/>
          <cell r="L173"/>
          <cell r="M173"/>
          <cell r="N173">
            <v>3.5590000000000002</v>
          </cell>
          <cell r="O173">
            <v>0.17399999999999999</v>
          </cell>
          <cell r="P173">
            <v>1.742</v>
          </cell>
          <cell r="Q173">
            <v>1.0289999999999999</v>
          </cell>
          <cell r="R173"/>
          <cell r="S173"/>
          <cell r="T173"/>
          <cell r="U173"/>
          <cell r="V173"/>
          <cell r="W173">
            <v>1.371</v>
          </cell>
          <cell r="X173">
            <v>5.9320000000000004</v>
          </cell>
          <cell r="Y173">
            <v>0.16900000000000001</v>
          </cell>
          <cell r="Z173">
            <v>1.286</v>
          </cell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>
            <v>0.95649999999999991</v>
          </cell>
          <cell r="BK173">
            <v>0</v>
          </cell>
          <cell r="BL173">
            <v>-0.95649999999999991</v>
          </cell>
          <cell r="BM173">
            <v>501.82958703606903</v>
          </cell>
          <cell r="BN173" t="str">
            <v>0</v>
          </cell>
          <cell r="BO173">
            <v>501.82958703606903</v>
          </cell>
          <cell r="BP173">
            <v>0.92149999999999999</v>
          </cell>
          <cell r="BQ173">
            <v>1.4550000000000001</v>
          </cell>
          <cell r="BR173">
            <v>0.53350000000000009</v>
          </cell>
          <cell r="BS173">
            <v>520.8898534997287</v>
          </cell>
          <cell r="BT173">
            <v>329.89690721649481</v>
          </cell>
          <cell r="BU173">
            <v>190.99294628323389</v>
          </cell>
          <cell r="BV173">
            <v>3.8303333333333334</v>
          </cell>
          <cell r="BW173">
            <v>2.1260000000000003</v>
          </cell>
          <cell r="BX173">
            <v>-1.704333333333333</v>
          </cell>
          <cell r="BY173">
            <v>125.31546427639022</v>
          </cell>
          <cell r="BZ173">
            <v>225.77610536218248</v>
          </cell>
          <cell r="CA173">
            <v>-100.46064108579226</v>
          </cell>
          <cell r="CB173">
            <v>0.17149999999999999</v>
          </cell>
          <cell r="CC173">
            <v>0.112</v>
          </cell>
          <cell r="CD173">
            <v>-5.9499999999999983E-2</v>
          </cell>
          <cell r="CE173">
            <v>2798.8338192419828</v>
          </cell>
          <cell r="CF173">
            <v>4285.7142857142853</v>
          </cell>
          <cell r="CG173">
            <v>-1486.8804664723025</v>
          </cell>
          <cell r="CH173">
            <v>1.514</v>
          </cell>
        </row>
        <row r="174">
          <cell r="A174" t="str">
            <v>YD161A0</v>
          </cell>
          <cell r="B174"/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>
            <v>1.647</v>
          </cell>
          <cell r="R174"/>
          <cell r="S174"/>
          <cell r="T174"/>
          <cell r="U174"/>
          <cell r="V174">
            <v>1.8919999999999999</v>
          </cell>
          <cell r="W174">
            <v>0.6</v>
          </cell>
          <cell r="X174">
            <v>2.714</v>
          </cell>
          <cell r="Y174">
            <v>0.16400000000000001</v>
          </cell>
          <cell r="Z174">
            <v>1.1819999999999999</v>
          </cell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>
            <v>1.7694999999999999</v>
          </cell>
          <cell r="BK174">
            <v>0</v>
          </cell>
          <cell r="BL174">
            <v>-1.7694999999999999</v>
          </cell>
          <cell r="BM174">
            <v>271.26306866346425</v>
          </cell>
          <cell r="BN174" t="str">
            <v>0</v>
          </cell>
          <cell r="BO174">
            <v>271.26306866346425</v>
          </cell>
          <cell r="BP174">
            <v>0.6</v>
          </cell>
          <cell r="BQ174">
            <v>2.25</v>
          </cell>
          <cell r="BR174">
            <v>1.65</v>
          </cell>
          <cell r="BS174">
            <v>800</v>
          </cell>
          <cell r="BT174">
            <v>213.33333333333334</v>
          </cell>
          <cell r="BU174">
            <v>586.66666666666663</v>
          </cell>
          <cell r="BV174">
            <v>2.714</v>
          </cell>
          <cell r="BW174">
            <v>3.6500000000000004</v>
          </cell>
          <cell r="BX174">
            <v>0.93600000000000039</v>
          </cell>
          <cell r="BY174">
            <v>176.86072218128226</v>
          </cell>
          <cell r="BZ174">
            <v>131.50684931506848</v>
          </cell>
          <cell r="CA174">
            <v>45.353872866213777</v>
          </cell>
          <cell r="CB174">
            <v>0.16400000000000001</v>
          </cell>
          <cell r="CC174">
            <v>0.16700000000000001</v>
          </cell>
          <cell r="CD174">
            <v>3.0000000000000027E-3</v>
          </cell>
          <cell r="CE174">
            <v>2926.8292682926826</v>
          </cell>
          <cell r="CF174">
            <v>2874.2514970059879</v>
          </cell>
          <cell r="CG174">
            <v>52.57777128669477</v>
          </cell>
          <cell r="CH174">
            <v>1.1819999999999999</v>
          </cell>
        </row>
        <row r="175">
          <cell r="A175" t="str">
            <v>YE60L028H55</v>
          </cell>
          <cell r="B175"/>
          <cell r="C175">
            <v>8.359</v>
          </cell>
          <cell r="D175">
            <v>3.9769999999999999</v>
          </cell>
          <cell r="E175">
            <v>0.161</v>
          </cell>
          <cell r="F175">
            <v>1.3540000000000001</v>
          </cell>
          <cell r="G175"/>
          <cell r="H175">
            <v>8.7750000000000004</v>
          </cell>
          <cell r="I175">
            <v>3.423</v>
          </cell>
          <cell r="J175">
            <v>0.183</v>
          </cell>
          <cell r="K175">
            <v>1.137</v>
          </cell>
          <cell r="L175"/>
          <cell r="M175">
            <v>8.3279999999999994</v>
          </cell>
          <cell r="N175">
            <v>3.24</v>
          </cell>
          <cell r="O175">
            <v>0.16500000000000001</v>
          </cell>
          <cell r="P175">
            <v>1.139</v>
          </cell>
          <cell r="Q175"/>
          <cell r="R175">
            <v>7.4489999999999998</v>
          </cell>
          <cell r="S175">
            <v>3.3969999999999998</v>
          </cell>
          <cell r="T175">
            <v>0.17699999999999999</v>
          </cell>
          <cell r="U175">
            <v>1.6379999999999999</v>
          </cell>
          <cell r="V175"/>
          <cell r="W175">
            <v>6.5549999999999997</v>
          </cell>
          <cell r="X175">
            <v>3.581</v>
          </cell>
          <cell r="Y175">
            <v>0.17299999999999999</v>
          </cell>
          <cell r="Z175">
            <v>1.575</v>
          </cell>
          <cell r="AA175"/>
          <cell r="AB175">
            <v>7.7069999999999999</v>
          </cell>
          <cell r="AC175">
            <v>3.5950000000000002</v>
          </cell>
          <cell r="AD175">
            <v>0.186</v>
          </cell>
          <cell r="AE175">
            <v>0.76800000000000002</v>
          </cell>
          <cell r="AF175"/>
          <cell r="AG175"/>
          <cell r="AH175"/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 t="str">
            <v>0</v>
          </cell>
          <cell r="BK175">
            <v>0</v>
          </cell>
          <cell r="BL175">
            <v>0</v>
          </cell>
          <cell r="BM175" t="str">
            <v/>
          </cell>
          <cell r="BN175" t="str">
            <v>0</v>
          </cell>
          <cell r="BO175" t="str">
            <v/>
          </cell>
          <cell r="BP175">
            <v>7.862166666666667</v>
          </cell>
          <cell r="BQ175">
            <v>4.12</v>
          </cell>
          <cell r="BR175">
            <v>-3.7421666666666669</v>
          </cell>
          <cell r="BS175">
            <v>61.051872893392407</v>
          </cell>
          <cell r="BT175">
            <v>116.50485436893203</v>
          </cell>
          <cell r="BU175">
            <v>-55.452981475539623</v>
          </cell>
          <cell r="BV175">
            <v>3.5355000000000003</v>
          </cell>
          <cell r="BW175">
            <v>3.23</v>
          </cell>
          <cell r="BX175">
            <v>-0.30550000000000033</v>
          </cell>
          <cell r="BY175">
            <v>135.76580398812047</v>
          </cell>
          <cell r="BZ175">
            <v>148.60681114551085</v>
          </cell>
          <cell r="CA175">
            <v>-12.841007157390379</v>
          </cell>
          <cell r="CB175">
            <v>0.17416666666666666</v>
          </cell>
          <cell r="CC175">
            <v>0</v>
          </cell>
          <cell r="CD175">
            <v>-0.17416666666666666</v>
          </cell>
          <cell r="CE175">
            <v>2755.9808612440193</v>
          </cell>
          <cell r="CF175" t="str">
            <v>0</v>
          </cell>
          <cell r="CG175">
            <v>2755.9808612440193</v>
          </cell>
          <cell r="CH175">
            <v>1.2685</v>
          </cell>
        </row>
        <row r="176">
          <cell r="A176" t="str">
            <v>YE60L383H01</v>
          </cell>
          <cell r="B176"/>
          <cell r="C176">
            <v>11.554</v>
          </cell>
          <cell r="D176">
            <v>4.4009999999999998</v>
          </cell>
          <cell r="E176">
            <v>0.17499999999999999</v>
          </cell>
          <cell r="F176">
            <v>1.425</v>
          </cell>
          <cell r="G176"/>
          <cell r="H176">
            <v>9.8520000000000003</v>
          </cell>
          <cell r="I176">
            <v>4.0650000000000004</v>
          </cell>
          <cell r="J176">
            <v>0.17599999999999999</v>
          </cell>
          <cell r="K176">
            <v>1.206</v>
          </cell>
          <cell r="L176"/>
          <cell r="M176">
            <v>11.894</v>
          </cell>
          <cell r="N176">
            <v>3.6589999999999998</v>
          </cell>
          <cell r="O176">
            <v>0.16300000000000001</v>
          </cell>
          <cell r="P176">
            <v>1.639</v>
          </cell>
          <cell r="Q176"/>
          <cell r="R176">
            <v>8.875</v>
          </cell>
          <cell r="S176">
            <v>4.8040000000000003</v>
          </cell>
          <cell r="T176">
            <v>0.19400000000000001</v>
          </cell>
          <cell r="U176">
            <v>1.5289999999999999</v>
          </cell>
          <cell r="V176"/>
          <cell r="W176">
            <v>10.023</v>
          </cell>
          <cell r="X176">
            <v>3.9380000000000002</v>
          </cell>
          <cell r="Y176">
            <v>0.17399999999999999</v>
          </cell>
          <cell r="Z176">
            <v>1.286</v>
          </cell>
          <cell r="AA176"/>
          <cell r="AB176">
            <v>9.468</v>
          </cell>
          <cell r="AC176">
            <v>4.8559999999999999</v>
          </cell>
          <cell r="AD176">
            <v>0.191</v>
          </cell>
          <cell r="AE176">
            <v>0.85499999999999998</v>
          </cell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  <cell r="BE176"/>
          <cell r="BF176"/>
          <cell r="BG176"/>
          <cell r="BH176"/>
          <cell r="BI176"/>
          <cell r="BJ176" t="str">
            <v>0</v>
          </cell>
          <cell r="BK176">
            <v>0</v>
          </cell>
          <cell r="BL176">
            <v>0</v>
          </cell>
          <cell r="BM176" t="str">
            <v/>
          </cell>
          <cell r="BN176" t="str">
            <v>0</v>
          </cell>
          <cell r="BO176" t="str">
            <v/>
          </cell>
          <cell r="BP176">
            <v>10.277666666666667</v>
          </cell>
          <cell r="BQ176">
            <v>4.93</v>
          </cell>
          <cell r="BR176">
            <v>-5.347666666666667</v>
          </cell>
          <cell r="BS176">
            <v>46.703207602244348</v>
          </cell>
          <cell r="BT176">
            <v>97.363083164300207</v>
          </cell>
          <cell r="BU176">
            <v>-50.659875562055859</v>
          </cell>
          <cell r="BV176">
            <v>4.2871666666666668</v>
          </cell>
          <cell r="BW176">
            <v>3.3</v>
          </cell>
          <cell r="BX176">
            <v>-0.98716666666666697</v>
          </cell>
          <cell r="BY176">
            <v>111.96205730280293</v>
          </cell>
          <cell r="BZ176">
            <v>145.45454545454547</v>
          </cell>
          <cell r="CA176">
            <v>-33.492488151742535</v>
          </cell>
          <cell r="CB176">
            <v>0.17883333333333332</v>
          </cell>
          <cell r="CC176">
            <v>0</v>
          </cell>
          <cell r="CD176">
            <v>-0.17883333333333332</v>
          </cell>
          <cell r="CE176">
            <v>2684.0633737185462</v>
          </cell>
          <cell r="CF176" t="str">
            <v>0</v>
          </cell>
          <cell r="CG176">
            <v>2684.0633737185462</v>
          </cell>
          <cell r="CH176">
            <v>1.3233333333333335</v>
          </cell>
        </row>
        <row r="177">
          <cell r="A177" t="str">
            <v>YE60R386H01</v>
          </cell>
          <cell r="B177"/>
          <cell r="C177">
            <v>5.9539999999999997</v>
          </cell>
          <cell r="D177">
            <v>2.714</v>
          </cell>
          <cell r="E177">
            <v>0.16400000000000001</v>
          </cell>
          <cell r="F177">
            <v>1.381</v>
          </cell>
          <cell r="G177"/>
          <cell r="H177">
            <v>5.6269999999999998</v>
          </cell>
          <cell r="I177">
            <v>2.9620000000000002</v>
          </cell>
          <cell r="J177">
            <v>0.14899999999999999</v>
          </cell>
          <cell r="K177">
            <v>1.5669999999999999</v>
          </cell>
          <cell r="L177"/>
          <cell r="M177">
            <v>6.0830000000000002</v>
          </cell>
          <cell r="N177"/>
          <cell r="O177"/>
          <cell r="P177"/>
          <cell r="Q177"/>
          <cell r="R177">
            <v>5.1719999999999997</v>
          </cell>
          <cell r="S177"/>
          <cell r="T177"/>
          <cell r="U177">
            <v>1.8</v>
          </cell>
          <cell r="V177"/>
          <cell r="W177"/>
          <cell r="X177"/>
          <cell r="Y177"/>
          <cell r="Z177"/>
          <cell r="AA177"/>
          <cell r="AB177">
            <v>10.789</v>
          </cell>
          <cell r="AC177">
            <v>2.9889999999999999</v>
          </cell>
          <cell r="AD177">
            <v>0.14899999999999999</v>
          </cell>
          <cell r="AE177">
            <v>1.52</v>
          </cell>
          <cell r="AF177"/>
          <cell r="AG177"/>
          <cell r="AH177"/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/>
          <cell r="BI177"/>
          <cell r="BJ177" t="str">
            <v>0</v>
          </cell>
          <cell r="BK177">
            <v>0</v>
          </cell>
          <cell r="BL177">
            <v>0</v>
          </cell>
          <cell r="BM177" t="str">
            <v/>
          </cell>
          <cell r="BN177" t="str">
            <v>0</v>
          </cell>
          <cell r="BO177" t="str">
            <v/>
          </cell>
          <cell r="BP177">
            <v>6.7249999999999996</v>
          </cell>
          <cell r="BQ177">
            <v>3.52</v>
          </cell>
          <cell r="BR177">
            <v>-3.2049999999999996</v>
          </cell>
          <cell r="BS177">
            <v>71.375464684014872</v>
          </cell>
          <cell r="BT177">
            <v>136.36363636363637</v>
          </cell>
          <cell r="BU177">
            <v>-64.988171679621502</v>
          </cell>
          <cell r="BV177">
            <v>2.8883333333333332</v>
          </cell>
          <cell r="BW177">
            <v>1.95</v>
          </cell>
          <cell r="BX177">
            <v>-0.93833333333333324</v>
          </cell>
          <cell r="BY177">
            <v>166.1858049624928</v>
          </cell>
          <cell r="BZ177">
            <v>246.15384615384616</v>
          </cell>
          <cell r="CA177">
            <v>-79.968041191353365</v>
          </cell>
          <cell r="CB177">
            <v>0.154</v>
          </cell>
          <cell r="CC177">
            <v>0</v>
          </cell>
          <cell r="CD177">
            <v>-0.154</v>
          </cell>
          <cell r="CE177">
            <v>3116.8831168831171</v>
          </cell>
          <cell r="CF177" t="str">
            <v>0</v>
          </cell>
          <cell r="CG177">
            <v>3116.8831168831171</v>
          </cell>
          <cell r="CH177">
            <v>1.5670000000000002</v>
          </cell>
        </row>
        <row r="178">
          <cell r="B178"/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  <cell r="BZ178"/>
          <cell r="CA178"/>
          <cell r="CB178"/>
          <cell r="CC178"/>
          <cell r="CD178"/>
          <cell r="CE178"/>
          <cell r="CF178"/>
          <cell r="CG178"/>
          <cell r="CH178"/>
        </row>
        <row r="179">
          <cell r="B179"/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  <cell r="BE179"/>
          <cell r="BF179"/>
          <cell r="BG179"/>
          <cell r="BH179"/>
          <cell r="BI179"/>
          <cell r="BJ179"/>
          <cell r="BK179"/>
          <cell r="BL179"/>
          <cell r="BN179"/>
          <cell r="BO179"/>
          <cell r="BP179"/>
          <cell r="BQ179"/>
          <cell r="BR179"/>
          <cell r="BS179"/>
          <cell r="BT179"/>
          <cell r="BU179"/>
          <cell r="BV179"/>
          <cell r="BW179"/>
          <cell r="BX179"/>
          <cell r="BY179"/>
          <cell r="BZ179"/>
          <cell r="CA179"/>
          <cell r="CB179"/>
          <cell r="CC179"/>
          <cell r="CD179"/>
          <cell r="CE179"/>
          <cell r="CF179"/>
          <cell r="CG179"/>
          <cell r="CH179"/>
        </row>
        <row r="180">
          <cell r="B180"/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/>
          <cell r="AW180"/>
          <cell r="AX180"/>
          <cell r="AY180"/>
          <cell r="AZ180"/>
          <cell r="BA180"/>
          <cell r="BB180"/>
          <cell r="BC180"/>
          <cell r="BD180"/>
          <cell r="BE180"/>
          <cell r="BF180"/>
          <cell r="BG180"/>
          <cell r="BH180"/>
          <cell r="BI180"/>
          <cell r="BJ180"/>
          <cell r="BK180"/>
          <cell r="BL180"/>
          <cell r="BN180"/>
          <cell r="BO180"/>
          <cell r="BP180"/>
          <cell r="BQ180"/>
          <cell r="BR180"/>
          <cell r="BS180"/>
          <cell r="BT180"/>
          <cell r="BU180"/>
          <cell r="BV180"/>
          <cell r="BW180"/>
          <cell r="BX180"/>
          <cell r="BY180"/>
          <cell r="BZ180"/>
          <cell r="CA180"/>
          <cell r="CB180"/>
          <cell r="CC180"/>
          <cell r="CD180"/>
          <cell r="CE180"/>
          <cell r="CF180"/>
          <cell r="CG180"/>
          <cell r="CH180"/>
        </row>
        <row r="181">
          <cell r="B181"/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/>
          <cell r="AW181"/>
          <cell r="AX181"/>
          <cell r="AY181"/>
          <cell r="AZ181"/>
          <cell r="BA181"/>
          <cell r="BB181"/>
          <cell r="BC181"/>
          <cell r="BD181"/>
          <cell r="BE181"/>
          <cell r="BF181"/>
          <cell r="BG181"/>
          <cell r="BH181"/>
          <cell r="BI181"/>
          <cell r="BJ181"/>
          <cell r="BK181"/>
          <cell r="BL181"/>
          <cell r="BN181"/>
          <cell r="BO181"/>
          <cell r="BP181"/>
          <cell r="BQ181"/>
          <cell r="BR181"/>
          <cell r="BS181"/>
          <cell r="BT181"/>
          <cell r="BU181"/>
          <cell r="BV181"/>
          <cell r="BW181"/>
          <cell r="BX181"/>
          <cell r="BY181"/>
          <cell r="BZ181"/>
          <cell r="CA181"/>
          <cell r="CB181"/>
          <cell r="CC181"/>
          <cell r="CD181"/>
          <cell r="CE181"/>
          <cell r="CF181"/>
          <cell r="CG181"/>
          <cell r="CH181"/>
        </row>
        <row r="182">
          <cell r="B182"/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/>
          <cell r="BL182"/>
          <cell r="BN182"/>
          <cell r="BO182"/>
          <cell r="BP182"/>
          <cell r="BQ182"/>
          <cell r="BR182"/>
          <cell r="BS182"/>
          <cell r="BT182"/>
          <cell r="BU182"/>
          <cell r="BV182"/>
          <cell r="BW182"/>
          <cell r="BX182"/>
          <cell r="BY182"/>
          <cell r="BZ182"/>
          <cell r="CA182"/>
          <cell r="CB182"/>
          <cell r="CC182"/>
          <cell r="CD182"/>
          <cell r="CE182"/>
          <cell r="CF182"/>
          <cell r="CG182"/>
          <cell r="CH182"/>
        </row>
        <row r="183">
          <cell r="B183"/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/>
          <cell r="BI183"/>
          <cell r="BJ183"/>
          <cell r="BK183"/>
          <cell r="BL183"/>
          <cell r="BN183"/>
          <cell r="BO183"/>
          <cell r="BP183"/>
          <cell r="BQ183"/>
          <cell r="BR183"/>
          <cell r="BS183"/>
          <cell r="BT183"/>
          <cell r="BU183"/>
          <cell r="BV183"/>
          <cell r="BW183"/>
          <cell r="BX183"/>
          <cell r="BY183"/>
          <cell r="BZ183"/>
          <cell r="CA183"/>
          <cell r="CB183"/>
          <cell r="CC183"/>
          <cell r="CD183"/>
          <cell r="CE183"/>
          <cell r="CF183"/>
          <cell r="CG183"/>
          <cell r="CH183"/>
        </row>
        <row r="184">
          <cell r="B184"/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N184"/>
          <cell r="BO184"/>
          <cell r="BP184"/>
          <cell r="BQ184"/>
          <cell r="BR184"/>
          <cell r="BS184"/>
          <cell r="BT184"/>
          <cell r="BU184"/>
          <cell r="BV184"/>
          <cell r="BW184"/>
          <cell r="BX184"/>
          <cell r="BY184"/>
          <cell r="BZ184"/>
          <cell r="CA184"/>
          <cell r="CB184"/>
          <cell r="CC184"/>
          <cell r="CD184"/>
          <cell r="CE184"/>
          <cell r="CF184"/>
          <cell r="CG184"/>
          <cell r="CH184"/>
        </row>
        <row r="185">
          <cell r="B185"/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  <cell r="BE185"/>
          <cell r="BF185"/>
          <cell r="BG185"/>
          <cell r="BH185"/>
          <cell r="BI185"/>
          <cell r="BJ185"/>
          <cell r="BK185"/>
          <cell r="BL185"/>
          <cell r="BN185"/>
          <cell r="BO185"/>
          <cell r="BP185"/>
          <cell r="BQ185"/>
          <cell r="BR185"/>
          <cell r="BS185"/>
          <cell r="BT185"/>
          <cell r="BU185"/>
          <cell r="BV185"/>
          <cell r="BW185"/>
          <cell r="BX185"/>
          <cell r="BY185"/>
          <cell r="BZ185"/>
          <cell r="CA185"/>
          <cell r="CB185"/>
          <cell r="CC185"/>
          <cell r="CD185"/>
          <cell r="CE185"/>
          <cell r="CF185"/>
          <cell r="CG185"/>
          <cell r="CH185"/>
        </row>
        <row r="186">
          <cell r="B186"/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  <cell r="BE186"/>
          <cell r="BF186"/>
          <cell r="BG186"/>
          <cell r="BH186"/>
          <cell r="BI186"/>
          <cell r="BJ186"/>
          <cell r="BK186"/>
          <cell r="BL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  <cell r="BZ186"/>
          <cell r="CA186"/>
          <cell r="CB186"/>
          <cell r="CC186"/>
          <cell r="CD186"/>
          <cell r="CE186"/>
          <cell r="CF186"/>
          <cell r="CG186"/>
          <cell r="CH186"/>
        </row>
        <row r="187">
          <cell r="B187"/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/>
          <cell r="BA187"/>
          <cell r="BB187"/>
          <cell r="BC187"/>
          <cell r="BD187"/>
          <cell r="BE187"/>
          <cell r="BF187"/>
          <cell r="BG187"/>
          <cell r="BH187"/>
          <cell r="BI187"/>
          <cell r="BJ187"/>
          <cell r="BK187"/>
          <cell r="BL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  <cell r="BZ187"/>
          <cell r="CA187"/>
          <cell r="CB187"/>
          <cell r="CC187"/>
          <cell r="CD187"/>
          <cell r="CE187"/>
          <cell r="CF187"/>
          <cell r="CG187"/>
          <cell r="CH187"/>
        </row>
        <row r="188">
          <cell r="B188"/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  <cell r="BZ188"/>
          <cell r="CA188"/>
          <cell r="CB188"/>
          <cell r="CC188"/>
          <cell r="CD188"/>
          <cell r="CE188"/>
          <cell r="CF188"/>
          <cell r="CG188"/>
          <cell r="CH188"/>
        </row>
        <row r="189">
          <cell r="B189"/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  <cell r="BZ189"/>
          <cell r="CA189"/>
          <cell r="CB189"/>
          <cell r="CC189"/>
          <cell r="CD189"/>
          <cell r="CE189"/>
          <cell r="CF189"/>
          <cell r="CG189"/>
          <cell r="CH189"/>
        </row>
        <row r="190">
          <cell r="B190"/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  <cell r="BZ190"/>
          <cell r="CA190"/>
          <cell r="CB190"/>
          <cell r="CC190"/>
          <cell r="CD190"/>
          <cell r="CE190"/>
          <cell r="CF190"/>
          <cell r="CG190"/>
          <cell r="CH190"/>
        </row>
        <row r="191">
          <cell r="B191"/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N191"/>
          <cell r="BO191"/>
          <cell r="BP191"/>
          <cell r="BQ191"/>
          <cell r="BR191"/>
          <cell r="BS191"/>
          <cell r="BT191"/>
          <cell r="BU191"/>
          <cell r="BV191"/>
          <cell r="BW191"/>
          <cell r="BX191"/>
          <cell r="BY191"/>
          <cell r="BZ191"/>
          <cell r="CA191"/>
          <cell r="CB191"/>
          <cell r="CC191"/>
          <cell r="CD191"/>
          <cell r="CE191"/>
          <cell r="CF191"/>
          <cell r="CG191"/>
          <cell r="CH191"/>
        </row>
        <row r="192">
          <cell r="B192"/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N192"/>
          <cell r="BO192"/>
          <cell r="BP192"/>
          <cell r="BQ192"/>
          <cell r="BR192"/>
          <cell r="BS192"/>
          <cell r="BT192"/>
          <cell r="BU192"/>
          <cell r="BV192"/>
          <cell r="BW192"/>
          <cell r="BX192"/>
          <cell r="BY192"/>
          <cell r="BZ192"/>
          <cell r="CA192"/>
          <cell r="CB192"/>
          <cell r="CC192"/>
          <cell r="CD192"/>
          <cell r="CE192"/>
          <cell r="CF192"/>
          <cell r="CG192"/>
          <cell r="CH192"/>
        </row>
        <row r="193">
          <cell r="B193"/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  <cell r="BZ193"/>
          <cell r="CA193"/>
          <cell r="CB193"/>
          <cell r="CC193"/>
          <cell r="CD193"/>
          <cell r="CE193"/>
          <cell r="CF193"/>
          <cell r="CG193"/>
          <cell r="CH193"/>
        </row>
        <row r="194">
          <cell r="B194"/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N194"/>
          <cell r="BO194"/>
          <cell r="BP194"/>
          <cell r="BQ194"/>
          <cell r="BR194"/>
          <cell r="BS194"/>
          <cell r="BT194"/>
          <cell r="BU194"/>
          <cell r="BV194"/>
          <cell r="BW194"/>
          <cell r="BX194"/>
          <cell r="BY194"/>
          <cell r="BZ194"/>
          <cell r="CA194"/>
          <cell r="CB194"/>
          <cell r="CC194"/>
          <cell r="CD194"/>
          <cell r="CE194"/>
          <cell r="CF194"/>
          <cell r="CG194"/>
          <cell r="CH194"/>
        </row>
        <row r="195">
          <cell r="B195"/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  <cell r="BE195"/>
          <cell r="BF195"/>
          <cell r="BG195"/>
          <cell r="BH195"/>
          <cell r="BI195"/>
          <cell r="BJ195"/>
          <cell r="BK195"/>
          <cell r="BL195"/>
          <cell r="BN195"/>
          <cell r="BO195"/>
          <cell r="BP195"/>
          <cell r="BQ195"/>
          <cell r="BR195"/>
          <cell r="BS195"/>
          <cell r="BT195"/>
          <cell r="BU195"/>
          <cell r="BV195"/>
          <cell r="BW195"/>
          <cell r="BX195"/>
          <cell r="BY195"/>
          <cell r="BZ195"/>
          <cell r="CA195"/>
          <cell r="CB195"/>
          <cell r="CC195"/>
          <cell r="CD195"/>
          <cell r="CE195"/>
          <cell r="CF195"/>
          <cell r="CG195"/>
          <cell r="CH195"/>
        </row>
        <row r="196">
          <cell r="B196"/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I196"/>
          <cell r="BJ196"/>
          <cell r="BK196"/>
          <cell r="BL196"/>
          <cell r="BN196"/>
          <cell r="BO196"/>
          <cell r="BP196"/>
          <cell r="BQ196"/>
          <cell r="BR196"/>
          <cell r="BS196"/>
          <cell r="BT196"/>
          <cell r="BU196"/>
          <cell r="BV196"/>
          <cell r="BW196"/>
          <cell r="BX196"/>
          <cell r="BY196"/>
          <cell r="BZ196"/>
          <cell r="CA196"/>
          <cell r="CB196"/>
          <cell r="CC196"/>
          <cell r="CD196"/>
          <cell r="CE196"/>
          <cell r="CF196"/>
          <cell r="CG196"/>
          <cell r="CH196"/>
        </row>
        <row r="197">
          <cell r="B197"/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I197"/>
          <cell r="BJ197"/>
          <cell r="BK197"/>
          <cell r="BL197"/>
          <cell r="BN197"/>
          <cell r="BO197"/>
          <cell r="BP197"/>
          <cell r="BQ197"/>
          <cell r="BR197"/>
          <cell r="BS197"/>
          <cell r="BT197"/>
          <cell r="BU197"/>
          <cell r="BV197"/>
          <cell r="BW197"/>
          <cell r="BX197"/>
          <cell r="BY197"/>
          <cell r="BZ197"/>
          <cell r="CA197"/>
          <cell r="CB197"/>
          <cell r="CC197"/>
          <cell r="CD197"/>
          <cell r="CE197"/>
          <cell r="CF197"/>
          <cell r="CG197"/>
          <cell r="CH197"/>
        </row>
        <row r="198">
          <cell r="B198"/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  <cell r="BZ198"/>
          <cell r="CA198"/>
          <cell r="CB198"/>
          <cell r="CC198"/>
          <cell r="CD198"/>
          <cell r="CE198"/>
          <cell r="CF198"/>
          <cell r="CG198"/>
          <cell r="CH198"/>
        </row>
        <row r="199">
          <cell r="B199"/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  <cell r="BE199"/>
          <cell r="BF199"/>
          <cell r="BG199"/>
          <cell r="BH199"/>
          <cell r="BI199"/>
          <cell r="BJ199"/>
          <cell r="BK199"/>
          <cell r="BL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  <cell r="BZ199"/>
          <cell r="CA199"/>
          <cell r="CB199"/>
          <cell r="CC199"/>
          <cell r="CD199"/>
          <cell r="CE199"/>
          <cell r="CF199"/>
          <cell r="CG199"/>
          <cell r="CH199"/>
        </row>
        <row r="200">
          <cell r="B200"/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  <cell r="BE200"/>
          <cell r="BF200"/>
          <cell r="BG200"/>
          <cell r="BH200"/>
          <cell r="BI200"/>
          <cell r="BJ200"/>
          <cell r="BK200"/>
          <cell r="BL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  <cell r="BZ200"/>
          <cell r="CA200"/>
          <cell r="CB200"/>
          <cell r="CC200"/>
          <cell r="CD200"/>
          <cell r="CE200"/>
          <cell r="CF200"/>
          <cell r="CG200"/>
          <cell r="CH200"/>
        </row>
        <row r="201">
          <cell r="B201"/>
          <cell r="C201"/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  <cell r="BE201"/>
          <cell r="BF201"/>
          <cell r="BG201"/>
          <cell r="BH201"/>
          <cell r="BI201"/>
          <cell r="BJ201"/>
          <cell r="BK201"/>
          <cell r="BL201"/>
          <cell r="BN201"/>
          <cell r="BO201"/>
          <cell r="BP201"/>
          <cell r="BQ201"/>
          <cell r="BR201"/>
          <cell r="BS201"/>
          <cell r="BT201"/>
          <cell r="BU201"/>
          <cell r="BV201"/>
          <cell r="BW201"/>
          <cell r="BX201"/>
          <cell r="BY201"/>
          <cell r="BZ201"/>
          <cell r="CA201"/>
          <cell r="CB201"/>
          <cell r="CC201"/>
          <cell r="CD201"/>
          <cell r="CE201"/>
          <cell r="CF201"/>
          <cell r="CG201"/>
          <cell r="CH201"/>
        </row>
        <row r="202">
          <cell r="B202"/>
          <cell r="C202"/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  <cell r="BE202"/>
          <cell r="BF202"/>
          <cell r="BG202"/>
          <cell r="BH202"/>
          <cell r="BI202"/>
          <cell r="BJ202"/>
          <cell r="BK202"/>
          <cell r="BL202"/>
          <cell r="BN202"/>
          <cell r="BO202"/>
          <cell r="BP202"/>
          <cell r="BQ202"/>
          <cell r="BR202"/>
          <cell r="BS202"/>
          <cell r="BT202"/>
          <cell r="BU202"/>
          <cell r="BV202"/>
          <cell r="BW202"/>
          <cell r="BX202"/>
          <cell r="BY202"/>
          <cell r="BZ202"/>
          <cell r="CA202"/>
          <cell r="CB202"/>
          <cell r="CC202"/>
          <cell r="CD202"/>
          <cell r="CE202"/>
          <cell r="CF202"/>
          <cell r="CG202"/>
          <cell r="CH202"/>
        </row>
        <row r="203">
          <cell r="B203"/>
          <cell r="C203"/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  <cell r="BZ203"/>
          <cell r="CA203"/>
          <cell r="CB203"/>
          <cell r="CC203"/>
          <cell r="CD203"/>
          <cell r="CE203"/>
          <cell r="CF203"/>
          <cell r="CG203"/>
          <cell r="CH203"/>
        </row>
        <row r="204">
          <cell r="B204"/>
          <cell r="C204"/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  <cell r="BZ204"/>
          <cell r="CA204"/>
          <cell r="CB204"/>
          <cell r="CC204"/>
          <cell r="CD204"/>
          <cell r="CE204"/>
          <cell r="CF204"/>
          <cell r="CG204"/>
          <cell r="CH204"/>
        </row>
        <row r="205">
          <cell r="B205"/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  <cell r="BZ205"/>
          <cell r="CA205"/>
          <cell r="CB205"/>
          <cell r="CC205"/>
          <cell r="CD205"/>
          <cell r="CE205"/>
          <cell r="CF205"/>
          <cell r="CG205"/>
          <cell r="CH205"/>
        </row>
        <row r="206">
          <cell r="B206"/>
          <cell r="C206"/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  <cell r="BE206"/>
          <cell r="BF206"/>
          <cell r="BG206"/>
          <cell r="BH206"/>
          <cell r="BI206"/>
          <cell r="BJ206"/>
          <cell r="BK206"/>
          <cell r="BL206"/>
          <cell r="BN206"/>
          <cell r="BO206"/>
          <cell r="BP206"/>
          <cell r="BQ206"/>
          <cell r="BR206"/>
          <cell r="BS206"/>
          <cell r="BT206"/>
          <cell r="BU206"/>
          <cell r="BV206"/>
          <cell r="BW206"/>
          <cell r="BX206"/>
          <cell r="BY206"/>
          <cell r="BZ206"/>
          <cell r="CA206"/>
          <cell r="CB206"/>
          <cell r="CC206"/>
          <cell r="CD206"/>
          <cell r="CE206"/>
          <cell r="CF206"/>
          <cell r="CG206"/>
          <cell r="CH206"/>
        </row>
        <row r="207">
          <cell r="B207"/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  <cell r="BE207"/>
          <cell r="BF207"/>
          <cell r="BG207"/>
          <cell r="BH207"/>
          <cell r="BI207"/>
          <cell r="BJ207"/>
          <cell r="BK207"/>
          <cell r="BL207"/>
          <cell r="BN207"/>
          <cell r="BO207"/>
          <cell r="BP207"/>
          <cell r="BQ207"/>
          <cell r="BR207"/>
          <cell r="BS207"/>
          <cell r="BT207"/>
          <cell r="BU207"/>
          <cell r="BV207"/>
          <cell r="BW207"/>
          <cell r="BX207"/>
          <cell r="BY207"/>
          <cell r="BZ207"/>
          <cell r="CA207"/>
          <cell r="CB207"/>
          <cell r="CC207"/>
          <cell r="CD207"/>
          <cell r="CE207"/>
          <cell r="CF207"/>
          <cell r="CG207"/>
          <cell r="CH207"/>
        </row>
        <row r="208">
          <cell r="B208"/>
          <cell r="C208"/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  <cell r="BZ208"/>
          <cell r="CA208"/>
          <cell r="CB208"/>
          <cell r="CC208"/>
          <cell r="CD208"/>
          <cell r="CE208"/>
          <cell r="CF208"/>
          <cell r="CG208"/>
          <cell r="CH208"/>
        </row>
        <row r="209">
          <cell r="B209"/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  <cell r="BZ209"/>
          <cell r="CA209"/>
          <cell r="CB209"/>
          <cell r="CC209"/>
          <cell r="CD209"/>
          <cell r="CE209"/>
          <cell r="CF209"/>
          <cell r="CG209"/>
          <cell r="CH209"/>
        </row>
        <row r="210">
          <cell r="B210"/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  <cell r="BZ210"/>
          <cell r="CA210"/>
          <cell r="CB210"/>
          <cell r="CC210"/>
          <cell r="CD210"/>
          <cell r="CE210"/>
          <cell r="CF210"/>
          <cell r="CG210"/>
          <cell r="CH210"/>
        </row>
        <row r="211">
          <cell r="B211"/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/>
          <cell r="BY211"/>
          <cell r="BZ211"/>
          <cell r="CA211"/>
          <cell r="CB211"/>
          <cell r="CC211"/>
          <cell r="CD211"/>
          <cell r="CE211"/>
          <cell r="CF211"/>
          <cell r="CG211"/>
          <cell r="CH211"/>
        </row>
        <row r="212">
          <cell r="B212"/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/>
          <cell r="BY212"/>
          <cell r="BZ212"/>
          <cell r="CA212"/>
          <cell r="CB212"/>
          <cell r="CC212"/>
          <cell r="CD212"/>
          <cell r="CE212"/>
          <cell r="CF212"/>
          <cell r="CG212"/>
          <cell r="CH212"/>
        </row>
        <row r="213">
          <cell r="B213"/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  <cell r="BZ213"/>
          <cell r="CA213"/>
          <cell r="CB213"/>
          <cell r="CC213"/>
          <cell r="CD213"/>
          <cell r="CE213"/>
          <cell r="CF213"/>
          <cell r="CG213"/>
          <cell r="CH213"/>
        </row>
        <row r="214">
          <cell r="B214"/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  <cell r="BZ214"/>
          <cell r="CA214"/>
          <cell r="CB214"/>
          <cell r="CC214"/>
          <cell r="CD214"/>
          <cell r="CE214"/>
          <cell r="CF214"/>
          <cell r="CG214"/>
          <cell r="CH214"/>
        </row>
        <row r="215">
          <cell r="B215"/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  <cell r="BZ215"/>
          <cell r="CA215"/>
          <cell r="CB215"/>
          <cell r="CC215"/>
          <cell r="CD215"/>
          <cell r="CE215"/>
          <cell r="CF215"/>
          <cell r="CG215"/>
          <cell r="CH215"/>
        </row>
        <row r="216">
          <cell r="B216"/>
          <cell r="C216"/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/>
          <cell r="BL216"/>
          <cell r="BN216"/>
          <cell r="BO216"/>
          <cell r="BP216"/>
          <cell r="BQ216"/>
          <cell r="BR216"/>
          <cell r="BS216"/>
          <cell r="BT216"/>
          <cell r="BU216"/>
          <cell r="BV216"/>
          <cell r="BW216"/>
          <cell r="BX216"/>
          <cell r="BY216"/>
          <cell r="BZ216"/>
          <cell r="CA216"/>
          <cell r="CB216"/>
          <cell r="CC216"/>
          <cell r="CD216"/>
          <cell r="CE216"/>
          <cell r="CF216"/>
          <cell r="CG216"/>
          <cell r="CH216"/>
        </row>
        <row r="217">
          <cell r="B217"/>
          <cell r="C217"/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/>
          <cell r="BY217"/>
          <cell r="BZ217"/>
          <cell r="CA217"/>
          <cell r="CB217"/>
          <cell r="CC217"/>
          <cell r="CD217"/>
          <cell r="CE217"/>
          <cell r="CF217"/>
          <cell r="CG217"/>
          <cell r="CH217"/>
        </row>
        <row r="218">
          <cell r="B218"/>
          <cell r="C218"/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/>
          <cell r="BY218"/>
          <cell r="BZ218"/>
          <cell r="CA218"/>
          <cell r="CB218"/>
          <cell r="CC218"/>
          <cell r="CD218"/>
          <cell r="CE218"/>
          <cell r="CF218"/>
          <cell r="CG218"/>
          <cell r="CH218"/>
        </row>
        <row r="219">
          <cell r="B219"/>
          <cell r="C219"/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/>
          <cell r="BY219"/>
          <cell r="BZ219"/>
          <cell r="CA219"/>
          <cell r="CB219"/>
          <cell r="CC219"/>
          <cell r="CD219"/>
          <cell r="CE219"/>
          <cell r="CF219"/>
          <cell r="CG219"/>
          <cell r="CH219"/>
        </row>
        <row r="220">
          <cell r="B220"/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  <cell r="BZ220"/>
          <cell r="CA220"/>
          <cell r="CB220"/>
          <cell r="CC220"/>
          <cell r="CD220"/>
          <cell r="CE220"/>
          <cell r="CF220"/>
          <cell r="CG220"/>
          <cell r="CH220"/>
        </row>
        <row r="221">
          <cell r="B221"/>
          <cell r="C221"/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  <cell r="BZ221"/>
          <cell r="CA221"/>
          <cell r="CB221"/>
          <cell r="CC221"/>
          <cell r="CD221"/>
          <cell r="CE221"/>
          <cell r="CF221"/>
          <cell r="CG221"/>
          <cell r="CH221"/>
        </row>
        <row r="222">
          <cell r="B222"/>
          <cell r="C222"/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  <cell r="BZ222"/>
          <cell r="CA222"/>
          <cell r="CB222"/>
          <cell r="CC222"/>
          <cell r="CD222"/>
          <cell r="CE222"/>
          <cell r="CF222"/>
          <cell r="CG222"/>
          <cell r="CH222"/>
        </row>
        <row r="223">
          <cell r="B223"/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  <cell r="BZ223"/>
          <cell r="CA223"/>
          <cell r="CB223"/>
          <cell r="CC223"/>
          <cell r="CD223"/>
          <cell r="CE223"/>
          <cell r="CF223"/>
          <cell r="CG223"/>
          <cell r="CH223"/>
        </row>
        <row r="224">
          <cell r="B224"/>
          <cell r="C224"/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  <cell r="BE224"/>
          <cell r="BF224"/>
          <cell r="BG224"/>
          <cell r="BH224"/>
          <cell r="BI224"/>
          <cell r="BJ224"/>
          <cell r="BK224"/>
          <cell r="BL224"/>
          <cell r="BN224"/>
          <cell r="BO224"/>
          <cell r="BP224"/>
          <cell r="BQ224"/>
          <cell r="BR224"/>
          <cell r="BS224"/>
          <cell r="BT224"/>
          <cell r="BU224"/>
          <cell r="BV224"/>
          <cell r="BW224"/>
          <cell r="BX224"/>
          <cell r="BY224"/>
          <cell r="BZ224"/>
          <cell r="CA224"/>
          <cell r="CB224"/>
          <cell r="CC224"/>
          <cell r="CD224"/>
          <cell r="CE224"/>
          <cell r="CF224"/>
          <cell r="CG224"/>
          <cell r="CH224"/>
        </row>
        <row r="225">
          <cell r="B225"/>
          <cell r="C225"/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  <cell r="BE225"/>
          <cell r="BF225"/>
          <cell r="BG225"/>
          <cell r="BH225"/>
          <cell r="BI225"/>
          <cell r="BJ225"/>
          <cell r="BK225"/>
          <cell r="BL225"/>
          <cell r="BN225"/>
          <cell r="BO225"/>
          <cell r="BP225"/>
          <cell r="BQ225"/>
          <cell r="BR225"/>
          <cell r="BS225"/>
          <cell r="BT225"/>
          <cell r="BU225"/>
          <cell r="BV225"/>
          <cell r="BW225"/>
          <cell r="BX225"/>
          <cell r="BY225"/>
          <cell r="BZ225"/>
          <cell r="CA225"/>
          <cell r="CB225"/>
          <cell r="CC225"/>
          <cell r="CD225"/>
          <cell r="CE225"/>
          <cell r="CF225"/>
          <cell r="CG225"/>
          <cell r="CH225"/>
        </row>
        <row r="226">
          <cell r="B226"/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/>
          <cell r="AO226"/>
          <cell r="AP226"/>
          <cell r="AQ226"/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/>
          <cell r="BI226"/>
          <cell r="BJ226"/>
          <cell r="BK226"/>
          <cell r="BL226"/>
          <cell r="BN226"/>
          <cell r="BO226"/>
          <cell r="BP226"/>
          <cell r="BQ226"/>
          <cell r="BR226"/>
          <cell r="BS226"/>
          <cell r="BT226"/>
          <cell r="BU226"/>
          <cell r="BV226"/>
          <cell r="BW226"/>
          <cell r="BX226"/>
          <cell r="BY226"/>
          <cell r="BZ226"/>
          <cell r="CA226"/>
          <cell r="CB226"/>
          <cell r="CC226"/>
          <cell r="CD226"/>
          <cell r="CE226"/>
          <cell r="CF226"/>
          <cell r="CG226"/>
          <cell r="CH226"/>
        </row>
        <row r="227">
          <cell r="B227"/>
          <cell r="C227"/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/>
          <cell r="BI227"/>
          <cell r="BJ227"/>
          <cell r="BK227"/>
          <cell r="BL227"/>
          <cell r="BN227"/>
          <cell r="BO227"/>
          <cell r="BP227"/>
          <cell r="BQ227"/>
          <cell r="BR227"/>
          <cell r="BS227"/>
          <cell r="BT227"/>
          <cell r="BU227"/>
          <cell r="BV227"/>
          <cell r="BW227"/>
          <cell r="BX227"/>
          <cell r="BY227"/>
          <cell r="BZ227"/>
          <cell r="CA227"/>
          <cell r="CB227"/>
          <cell r="CC227"/>
          <cell r="CD227"/>
          <cell r="CE227"/>
          <cell r="CF227"/>
          <cell r="CG227"/>
          <cell r="CH227"/>
        </row>
        <row r="228">
          <cell r="B228"/>
          <cell r="C228"/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  <cell r="BZ228"/>
          <cell r="CA228"/>
          <cell r="CB228"/>
          <cell r="CC228"/>
          <cell r="CD228"/>
          <cell r="CE228"/>
          <cell r="CF228"/>
          <cell r="CG228"/>
          <cell r="CH228"/>
        </row>
        <row r="229">
          <cell r="B229"/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  <cell r="BZ229"/>
          <cell r="CA229"/>
          <cell r="CB229"/>
          <cell r="CC229"/>
          <cell r="CD229"/>
          <cell r="CE229"/>
          <cell r="CF229"/>
          <cell r="CG229"/>
          <cell r="CH229"/>
        </row>
        <row r="230">
          <cell r="B230"/>
          <cell r="C230"/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  <cell r="BE230"/>
          <cell r="BF230"/>
          <cell r="BG230"/>
          <cell r="BH230"/>
          <cell r="BI230"/>
          <cell r="BJ230"/>
          <cell r="BK230"/>
          <cell r="BL230"/>
          <cell r="BN230"/>
          <cell r="BO230"/>
          <cell r="BP230"/>
          <cell r="BQ230"/>
          <cell r="BR230"/>
          <cell r="BS230"/>
          <cell r="BT230"/>
          <cell r="BU230"/>
          <cell r="BV230"/>
          <cell r="BW230"/>
          <cell r="BX230"/>
          <cell r="BY230"/>
          <cell r="BZ230"/>
          <cell r="CA230"/>
          <cell r="CB230"/>
          <cell r="CC230"/>
          <cell r="CD230"/>
          <cell r="CE230"/>
          <cell r="CF230"/>
          <cell r="CG230"/>
          <cell r="CH230"/>
        </row>
        <row r="231">
          <cell r="B231"/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  <cell r="BE231"/>
          <cell r="BF231"/>
          <cell r="BG231"/>
          <cell r="BH231"/>
          <cell r="BI231"/>
          <cell r="BJ231"/>
          <cell r="BK231"/>
          <cell r="BL231"/>
          <cell r="BN231"/>
          <cell r="BO231"/>
          <cell r="BP231"/>
          <cell r="BQ231"/>
          <cell r="BR231"/>
          <cell r="BS231"/>
          <cell r="BT231"/>
          <cell r="BU231"/>
          <cell r="BV231"/>
          <cell r="BW231"/>
          <cell r="BX231"/>
          <cell r="BY231"/>
          <cell r="BZ231"/>
          <cell r="CA231"/>
          <cell r="CB231"/>
          <cell r="CC231"/>
          <cell r="CD231"/>
          <cell r="CE231"/>
          <cell r="CF231"/>
          <cell r="CG231"/>
          <cell r="CH231"/>
        </row>
        <row r="232">
          <cell r="B232"/>
          <cell r="C232"/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/>
          <cell r="BZ232"/>
          <cell r="CA232"/>
          <cell r="CB232"/>
          <cell r="CC232"/>
          <cell r="CD232"/>
          <cell r="CE232"/>
          <cell r="CF232"/>
          <cell r="CG232"/>
          <cell r="CH232"/>
        </row>
        <row r="233">
          <cell r="B233"/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/>
          <cell r="BZ233"/>
          <cell r="CA233"/>
          <cell r="CB233"/>
          <cell r="CC233"/>
          <cell r="CD233"/>
          <cell r="CE233"/>
          <cell r="CF233"/>
          <cell r="CG233"/>
          <cell r="CH233"/>
        </row>
        <row r="234">
          <cell r="B234"/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/>
          <cell r="BZ234"/>
          <cell r="CA234"/>
          <cell r="CB234"/>
          <cell r="CC234"/>
          <cell r="CD234"/>
          <cell r="CE234"/>
          <cell r="CF234"/>
          <cell r="CG234"/>
          <cell r="CH234"/>
        </row>
        <row r="235">
          <cell r="B235"/>
          <cell r="C235"/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  <cell r="BZ235"/>
          <cell r="CA235"/>
          <cell r="CB235"/>
          <cell r="CC235"/>
          <cell r="CD235"/>
          <cell r="CE235"/>
          <cell r="CF235"/>
          <cell r="CG235"/>
          <cell r="CH235"/>
        </row>
        <row r="236">
          <cell r="B236"/>
          <cell r="C236"/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  <cell r="BZ236"/>
          <cell r="CA236"/>
          <cell r="CB236"/>
          <cell r="CC236"/>
          <cell r="CD236"/>
          <cell r="CE236"/>
          <cell r="CF236"/>
          <cell r="CG236"/>
          <cell r="CH236"/>
        </row>
        <row r="237">
          <cell r="B237"/>
          <cell r="C237"/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  <cell r="BE237"/>
          <cell r="BF237"/>
          <cell r="BG237"/>
          <cell r="BH237"/>
          <cell r="BI237"/>
          <cell r="BJ237"/>
          <cell r="BK237"/>
          <cell r="BL237"/>
          <cell r="BN237"/>
          <cell r="BO237"/>
          <cell r="BP237"/>
          <cell r="BQ237"/>
          <cell r="BR237"/>
          <cell r="BS237"/>
          <cell r="BT237"/>
          <cell r="BU237"/>
          <cell r="BV237"/>
          <cell r="BW237"/>
          <cell r="BX237"/>
          <cell r="BY237"/>
          <cell r="BZ237"/>
          <cell r="CA237"/>
          <cell r="CB237"/>
          <cell r="CC237"/>
          <cell r="CD237"/>
          <cell r="CE237"/>
          <cell r="CF237"/>
          <cell r="CG237"/>
          <cell r="CH237"/>
        </row>
        <row r="238">
          <cell r="B238"/>
          <cell r="C238"/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/>
          <cell r="BZ238"/>
          <cell r="CA238"/>
          <cell r="CB238"/>
          <cell r="CC238"/>
          <cell r="CD238"/>
          <cell r="CE238"/>
          <cell r="CF238"/>
          <cell r="CG238"/>
          <cell r="CH238"/>
        </row>
        <row r="239">
          <cell r="B239"/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/>
          <cell r="BZ239"/>
          <cell r="CA239"/>
          <cell r="CB239"/>
          <cell r="CC239"/>
          <cell r="CD239"/>
          <cell r="CE239"/>
          <cell r="CF239"/>
          <cell r="CG239"/>
          <cell r="CH239"/>
        </row>
        <row r="240">
          <cell r="B240"/>
          <cell r="C240"/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/>
          <cell r="BZ240"/>
          <cell r="CA240"/>
          <cell r="CB240"/>
          <cell r="CC240"/>
          <cell r="CD240"/>
          <cell r="CE240"/>
          <cell r="CF240"/>
          <cell r="CG240"/>
          <cell r="CH240"/>
        </row>
        <row r="241">
          <cell r="B241"/>
          <cell r="C241"/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  <cell r="BZ241"/>
          <cell r="CA241"/>
          <cell r="CB241"/>
          <cell r="CC241"/>
          <cell r="CD241"/>
          <cell r="CE241"/>
          <cell r="CF241"/>
          <cell r="CG241"/>
          <cell r="CH241"/>
        </row>
        <row r="242">
          <cell r="B242"/>
          <cell r="C242"/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  <cell r="BZ242"/>
          <cell r="CA242"/>
          <cell r="CB242"/>
          <cell r="CC242"/>
          <cell r="CD242"/>
          <cell r="CE242"/>
          <cell r="CF242"/>
          <cell r="CG242"/>
          <cell r="CH242"/>
        </row>
        <row r="243">
          <cell r="B243"/>
          <cell r="C243"/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  <cell r="BZ243"/>
          <cell r="CA243"/>
          <cell r="CB243"/>
          <cell r="CC243"/>
          <cell r="CD243"/>
          <cell r="CE243"/>
          <cell r="CF243"/>
          <cell r="CG243"/>
          <cell r="CH243"/>
        </row>
        <row r="244">
          <cell r="B244"/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  <cell r="BZ244"/>
          <cell r="CA244"/>
          <cell r="CB244"/>
          <cell r="CC244"/>
          <cell r="CD244"/>
          <cell r="CE244"/>
          <cell r="CF244"/>
          <cell r="CG244"/>
          <cell r="CH244"/>
        </row>
        <row r="245">
          <cell r="B245"/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/>
          <cell r="BI245"/>
          <cell r="BJ245"/>
          <cell r="BK245"/>
          <cell r="BL245"/>
          <cell r="BN245"/>
          <cell r="BO245"/>
          <cell r="BP245"/>
          <cell r="BQ245"/>
          <cell r="BR245"/>
          <cell r="BS245"/>
          <cell r="BT245"/>
          <cell r="BU245"/>
          <cell r="BV245"/>
          <cell r="BW245"/>
          <cell r="BX245"/>
          <cell r="BY245"/>
          <cell r="BZ245"/>
          <cell r="CA245"/>
          <cell r="CB245"/>
          <cell r="CC245"/>
          <cell r="CD245"/>
          <cell r="CE245"/>
          <cell r="CF245"/>
          <cell r="CG245"/>
          <cell r="CH245"/>
        </row>
        <row r="246">
          <cell r="B246"/>
          <cell r="C246"/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  <cell r="BE246"/>
          <cell r="BF246"/>
          <cell r="BG246"/>
          <cell r="BH246"/>
          <cell r="BI246"/>
          <cell r="BJ246"/>
          <cell r="BK246"/>
          <cell r="BL246"/>
          <cell r="BN246"/>
          <cell r="BO246"/>
          <cell r="BP246"/>
          <cell r="BQ246"/>
          <cell r="BR246"/>
          <cell r="BS246"/>
          <cell r="BT246"/>
          <cell r="BU246"/>
          <cell r="BV246"/>
          <cell r="BW246"/>
          <cell r="BX246"/>
          <cell r="BY246"/>
          <cell r="BZ246"/>
          <cell r="CA246"/>
          <cell r="CB246"/>
          <cell r="CC246"/>
          <cell r="CD246"/>
          <cell r="CE246"/>
          <cell r="CF246"/>
          <cell r="CG246"/>
          <cell r="CH246"/>
        </row>
        <row r="247">
          <cell r="B247"/>
          <cell r="C247"/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  <cell r="BE247"/>
          <cell r="BF247"/>
          <cell r="BG247"/>
          <cell r="BH247"/>
          <cell r="BI247"/>
          <cell r="BJ247"/>
          <cell r="BK247"/>
          <cell r="BL247"/>
          <cell r="BN247"/>
          <cell r="BO247"/>
          <cell r="BP247"/>
          <cell r="BQ247"/>
          <cell r="BR247"/>
          <cell r="BS247"/>
          <cell r="BT247"/>
          <cell r="BU247"/>
          <cell r="BV247"/>
          <cell r="BW247"/>
          <cell r="BX247"/>
          <cell r="BY247"/>
          <cell r="BZ247"/>
          <cell r="CA247"/>
          <cell r="CB247"/>
          <cell r="CC247"/>
          <cell r="CD247"/>
          <cell r="CE247"/>
          <cell r="CF247"/>
          <cell r="CG247"/>
          <cell r="CH247"/>
        </row>
        <row r="248">
          <cell r="B248"/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  <cell r="BE248"/>
          <cell r="BF248"/>
          <cell r="BG248"/>
          <cell r="BH248"/>
          <cell r="BI248"/>
          <cell r="BJ248"/>
          <cell r="BK248"/>
          <cell r="BL248"/>
          <cell r="BN248"/>
          <cell r="BO248"/>
          <cell r="BP248"/>
          <cell r="BQ248"/>
          <cell r="BR248"/>
          <cell r="BS248"/>
          <cell r="BT248"/>
          <cell r="BU248"/>
          <cell r="BV248"/>
          <cell r="BW248"/>
          <cell r="BX248"/>
          <cell r="BY248"/>
          <cell r="BZ248"/>
          <cell r="CA248"/>
          <cell r="CB248"/>
          <cell r="CC248"/>
          <cell r="CD248"/>
          <cell r="CE248"/>
          <cell r="CF248"/>
          <cell r="CG248"/>
          <cell r="CH248"/>
        </row>
        <row r="249">
          <cell r="B249"/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  <cell r="BZ249"/>
          <cell r="CA249"/>
          <cell r="CB249"/>
          <cell r="CC249"/>
          <cell r="CD249"/>
          <cell r="CE249"/>
          <cell r="CF249"/>
          <cell r="CG249"/>
          <cell r="CH249"/>
        </row>
        <row r="250">
          <cell r="B250"/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  <cell r="BZ250"/>
          <cell r="CA250"/>
          <cell r="CB250"/>
          <cell r="CC250"/>
          <cell r="CD250"/>
          <cell r="CE250"/>
          <cell r="CF250"/>
          <cell r="CG250"/>
          <cell r="CH250"/>
        </row>
        <row r="251">
          <cell r="B251"/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  <cell r="BE251"/>
          <cell r="BF251"/>
          <cell r="BG251"/>
          <cell r="BH251"/>
          <cell r="BI251"/>
          <cell r="BJ251"/>
          <cell r="BK251"/>
          <cell r="BL251"/>
          <cell r="BN251"/>
          <cell r="BO251"/>
          <cell r="BP251"/>
          <cell r="BQ251"/>
          <cell r="BR251"/>
          <cell r="BS251"/>
          <cell r="BT251"/>
          <cell r="BU251"/>
          <cell r="BV251"/>
          <cell r="BW251"/>
          <cell r="BX251"/>
          <cell r="BY251"/>
          <cell r="BZ251"/>
          <cell r="CA251"/>
          <cell r="CB251"/>
          <cell r="CC251"/>
          <cell r="CD251"/>
          <cell r="CE251"/>
          <cell r="CF251"/>
          <cell r="CG251"/>
          <cell r="CH251"/>
        </row>
        <row r="252">
          <cell r="B252"/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  <cell r="BE252"/>
          <cell r="BF252"/>
          <cell r="BG252"/>
          <cell r="BH252"/>
          <cell r="BI252"/>
          <cell r="BJ252"/>
          <cell r="BK252"/>
          <cell r="BL252"/>
          <cell r="BN252"/>
          <cell r="BO252"/>
          <cell r="BP252"/>
          <cell r="BQ252"/>
          <cell r="BR252"/>
          <cell r="BS252"/>
          <cell r="BT252"/>
          <cell r="BU252"/>
          <cell r="BV252"/>
          <cell r="BW252"/>
          <cell r="BX252"/>
          <cell r="BY252"/>
          <cell r="BZ252"/>
          <cell r="CA252"/>
          <cell r="CB252"/>
          <cell r="CC252"/>
          <cell r="CD252"/>
          <cell r="CE252"/>
          <cell r="CF252"/>
          <cell r="CG252"/>
          <cell r="CH252"/>
        </row>
        <row r="253">
          <cell r="B253"/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  <cell r="BZ253"/>
          <cell r="CA253"/>
          <cell r="CB253"/>
          <cell r="CC253"/>
          <cell r="CD253"/>
          <cell r="CE253"/>
          <cell r="CF253"/>
          <cell r="CG253"/>
          <cell r="CH253"/>
        </row>
        <row r="254">
          <cell r="B254"/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  <cell r="BZ254"/>
          <cell r="CA254"/>
          <cell r="CB254"/>
          <cell r="CC254"/>
          <cell r="CD254"/>
          <cell r="CE254"/>
          <cell r="CF254"/>
          <cell r="CG254"/>
          <cell r="CH254"/>
        </row>
        <row r="255">
          <cell r="B255"/>
          <cell r="C255"/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  <cell r="BZ255"/>
          <cell r="CA255"/>
          <cell r="CB255"/>
          <cell r="CC255"/>
          <cell r="CD255"/>
          <cell r="CE255"/>
          <cell r="CF255"/>
          <cell r="CG255"/>
          <cell r="CH255"/>
        </row>
        <row r="256">
          <cell r="B256"/>
          <cell r="C256"/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  <cell r="BZ256"/>
          <cell r="CA256"/>
          <cell r="CB256"/>
          <cell r="CC256"/>
          <cell r="CD256"/>
          <cell r="CE256"/>
          <cell r="CF256"/>
          <cell r="CG256"/>
          <cell r="CH256"/>
        </row>
        <row r="257">
          <cell r="B257"/>
          <cell r="C257"/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  <cell r="BZ257"/>
          <cell r="CA257"/>
          <cell r="CB257"/>
          <cell r="CC257"/>
          <cell r="CD257"/>
          <cell r="CE257"/>
          <cell r="CF257"/>
          <cell r="CG257"/>
          <cell r="CH257"/>
        </row>
        <row r="258">
          <cell r="B258"/>
          <cell r="C258"/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/>
          <cell r="BI258"/>
          <cell r="BJ258"/>
          <cell r="BK258"/>
          <cell r="BL258"/>
          <cell r="BN258"/>
          <cell r="BO258"/>
          <cell r="BP258"/>
          <cell r="BQ258"/>
          <cell r="BR258"/>
          <cell r="BS258"/>
          <cell r="BT258"/>
          <cell r="BU258"/>
          <cell r="BV258"/>
          <cell r="BW258"/>
          <cell r="BX258"/>
          <cell r="BY258"/>
          <cell r="BZ258"/>
          <cell r="CA258"/>
          <cell r="CB258"/>
          <cell r="CC258"/>
          <cell r="CD258"/>
          <cell r="CE258"/>
          <cell r="CF258"/>
          <cell r="CG258"/>
          <cell r="CH258"/>
        </row>
        <row r="259">
          <cell r="B259"/>
          <cell r="C259"/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  <cell r="BZ259"/>
          <cell r="CA259"/>
          <cell r="CB259"/>
          <cell r="CC259"/>
          <cell r="CD259"/>
          <cell r="CE259"/>
          <cell r="CF259"/>
          <cell r="CG259"/>
          <cell r="CH259"/>
        </row>
        <row r="260">
          <cell r="B260"/>
          <cell r="C260"/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  <cell r="BZ260"/>
          <cell r="CA260"/>
          <cell r="CB260"/>
          <cell r="CC260"/>
          <cell r="CD260"/>
          <cell r="CE260"/>
          <cell r="CF260"/>
          <cell r="CG260"/>
          <cell r="CH260"/>
        </row>
        <row r="261">
          <cell r="B261"/>
          <cell r="C261"/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  <cell r="BZ261"/>
          <cell r="CA261"/>
          <cell r="CB261"/>
          <cell r="CC261"/>
          <cell r="CD261"/>
          <cell r="CE261"/>
          <cell r="CF261"/>
          <cell r="CG261"/>
          <cell r="CH261"/>
        </row>
        <row r="262">
          <cell r="B262"/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  <cell r="BZ262"/>
          <cell r="CA262"/>
          <cell r="CB262"/>
          <cell r="CC262"/>
          <cell r="CD262"/>
          <cell r="CE262"/>
          <cell r="CF262"/>
          <cell r="CG262"/>
          <cell r="CH262"/>
        </row>
        <row r="263">
          <cell r="B263"/>
          <cell r="C263"/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  <cell r="BZ263"/>
          <cell r="CA263"/>
          <cell r="CB263"/>
          <cell r="CC263"/>
          <cell r="CD263"/>
          <cell r="CE263"/>
          <cell r="CF263"/>
          <cell r="CG263"/>
          <cell r="CH263"/>
        </row>
        <row r="264">
          <cell r="B264"/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  <cell r="BZ264"/>
          <cell r="CA264"/>
          <cell r="CB264"/>
          <cell r="CC264"/>
          <cell r="CD264"/>
          <cell r="CE264"/>
          <cell r="CF264"/>
          <cell r="CG264"/>
          <cell r="CH264"/>
        </row>
        <row r="265">
          <cell r="B265"/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  <cell r="BZ265"/>
          <cell r="CA265"/>
          <cell r="CB265"/>
          <cell r="CC265"/>
          <cell r="CD265"/>
          <cell r="CE265"/>
          <cell r="CF265"/>
          <cell r="CG265"/>
          <cell r="CH265"/>
        </row>
        <row r="266">
          <cell r="B266"/>
          <cell r="C266"/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  <cell r="BE266"/>
          <cell r="BF266"/>
          <cell r="BG266"/>
          <cell r="BH266"/>
          <cell r="BI266"/>
          <cell r="BJ266"/>
          <cell r="BK266"/>
          <cell r="BL266"/>
          <cell r="BN266"/>
          <cell r="BO266"/>
          <cell r="BP266"/>
          <cell r="BQ266"/>
          <cell r="BR266"/>
          <cell r="BS266"/>
          <cell r="BT266"/>
          <cell r="BU266"/>
          <cell r="BV266"/>
          <cell r="BW266"/>
          <cell r="BX266"/>
          <cell r="BY266"/>
          <cell r="BZ266"/>
          <cell r="CA266"/>
          <cell r="CB266"/>
          <cell r="CC266"/>
          <cell r="CD266"/>
          <cell r="CE266"/>
          <cell r="CF266"/>
          <cell r="CG266"/>
          <cell r="CH266"/>
        </row>
        <row r="267">
          <cell r="B267"/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  <cell r="BE267"/>
          <cell r="BF267"/>
          <cell r="BG267"/>
          <cell r="BH267"/>
          <cell r="BI267"/>
          <cell r="BJ267"/>
          <cell r="BK267"/>
          <cell r="BL267"/>
          <cell r="BN267"/>
          <cell r="BO267"/>
          <cell r="BP267"/>
          <cell r="BQ267"/>
          <cell r="BR267"/>
          <cell r="BS267"/>
          <cell r="BT267"/>
          <cell r="BU267"/>
          <cell r="BV267"/>
          <cell r="BW267"/>
          <cell r="BX267"/>
          <cell r="BY267"/>
          <cell r="BZ267"/>
          <cell r="CA267"/>
          <cell r="CB267"/>
          <cell r="CC267"/>
          <cell r="CD267"/>
          <cell r="CE267"/>
          <cell r="CF267"/>
          <cell r="CG267"/>
          <cell r="CH267"/>
        </row>
        <row r="268">
          <cell r="B268"/>
          <cell r="C268"/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  <cell r="BE268"/>
          <cell r="BF268"/>
          <cell r="BG268"/>
          <cell r="BH268"/>
          <cell r="BI268"/>
          <cell r="BJ268"/>
          <cell r="BK268"/>
          <cell r="BL268"/>
          <cell r="BN268"/>
          <cell r="BO268"/>
          <cell r="BP268"/>
          <cell r="BQ268"/>
          <cell r="BR268"/>
          <cell r="BS268"/>
          <cell r="BT268"/>
          <cell r="BU268"/>
          <cell r="BV268"/>
          <cell r="BW268"/>
          <cell r="BX268"/>
          <cell r="BY268"/>
          <cell r="BZ268"/>
          <cell r="CA268"/>
          <cell r="CB268"/>
          <cell r="CC268"/>
          <cell r="CD268"/>
          <cell r="CE268"/>
          <cell r="CF268"/>
          <cell r="CG268"/>
          <cell r="CH268"/>
        </row>
        <row r="269">
          <cell r="B269"/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  <cell r="BH269"/>
          <cell r="BI269"/>
          <cell r="BJ269"/>
          <cell r="BK269"/>
          <cell r="BL269"/>
          <cell r="BN269"/>
          <cell r="BO269"/>
          <cell r="BP269"/>
          <cell r="BQ269"/>
          <cell r="BR269"/>
          <cell r="BS269"/>
          <cell r="BT269"/>
          <cell r="BU269"/>
          <cell r="BV269"/>
          <cell r="BW269"/>
          <cell r="BX269"/>
          <cell r="BY269"/>
          <cell r="BZ269"/>
          <cell r="CA269"/>
          <cell r="CB269"/>
          <cell r="CC269"/>
          <cell r="CD269"/>
          <cell r="CE269"/>
          <cell r="CF269"/>
          <cell r="CG269"/>
          <cell r="CH269"/>
        </row>
        <row r="270">
          <cell r="B270"/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  <cell r="BZ270"/>
          <cell r="CA270"/>
          <cell r="CB270"/>
          <cell r="CC270"/>
          <cell r="CD270"/>
          <cell r="CE270"/>
          <cell r="CF270"/>
          <cell r="CG270"/>
          <cell r="CH270"/>
        </row>
        <row r="271">
          <cell r="B271"/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  <cell r="BE271"/>
          <cell r="BF271"/>
          <cell r="BG271"/>
          <cell r="BH271"/>
          <cell r="BI271"/>
          <cell r="BJ271"/>
          <cell r="BK271"/>
          <cell r="BL271"/>
          <cell r="BN271"/>
          <cell r="BO271"/>
          <cell r="BP271"/>
          <cell r="BQ271"/>
          <cell r="BR271"/>
          <cell r="BS271"/>
          <cell r="BT271"/>
          <cell r="BU271"/>
          <cell r="BV271"/>
          <cell r="BW271"/>
          <cell r="BX271"/>
          <cell r="BY271"/>
          <cell r="BZ271"/>
          <cell r="CA271"/>
          <cell r="CB271"/>
          <cell r="CC271"/>
          <cell r="CD271"/>
          <cell r="CE271"/>
          <cell r="CF271"/>
          <cell r="CG271"/>
          <cell r="CH271"/>
        </row>
        <row r="272">
          <cell r="B272"/>
          <cell r="C272"/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  <cell r="BH272"/>
          <cell r="BI272"/>
          <cell r="BJ272"/>
          <cell r="BK272"/>
          <cell r="BL272"/>
          <cell r="BN272"/>
          <cell r="BO272"/>
          <cell r="BP272"/>
          <cell r="BQ272"/>
          <cell r="BR272"/>
          <cell r="BS272"/>
          <cell r="BT272"/>
          <cell r="BU272"/>
          <cell r="BV272"/>
          <cell r="BW272"/>
          <cell r="BX272"/>
          <cell r="BY272"/>
          <cell r="BZ272"/>
          <cell r="CA272"/>
          <cell r="CB272"/>
          <cell r="CC272"/>
          <cell r="CD272"/>
          <cell r="CE272"/>
          <cell r="CF272"/>
          <cell r="CG272"/>
          <cell r="CH272"/>
        </row>
        <row r="273">
          <cell r="B273"/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  <cell r="BE273"/>
          <cell r="BF273"/>
          <cell r="BG273"/>
          <cell r="BH273"/>
          <cell r="BI273"/>
          <cell r="BJ273"/>
          <cell r="BK273"/>
          <cell r="BL273"/>
          <cell r="BN273"/>
          <cell r="BO273"/>
          <cell r="BP273"/>
          <cell r="BQ273"/>
          <cell r="BR273"/>
          <cell r="BS273"/>
          <cell r="BT273"/>
          <cell r="BU273"/>
          <cell r="BV273"/>
          <cell r="BW273"/>
          <cell r="BX273"/>
          <cell r="BY273"/>
          <cell r="BZ273"/>
          <cell r="CA273"/>
          <cell r="CB273"/>
          <cell r="CC273"/>
          <cell r="CD273"/>
          <cell r="CE273"/>
          <cell r="CF273"/>
          <cell r="CG273"/>
          <cell r="CH273"/>
        </row>
        <row r="274">
          <cell r="B274"/>
          <cell r="C274"/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  <cell r="BE274"/>
          <cell r="BF274"/>
          <cell r="BG274"/>
          <cell r="BH274"/>
          <cell r="BI274"/>
          <cell r="BJ274"/>
          <cell r="BK274"/>
          <cell r="BL274"/>
          <cell r="BN274"/>
          <cell r="BO274"/>
          <cell r="BP274"/>
          <cell r="BQ274"/>
          <cell r="BR274"/>
          <cell r="BS274"/>
          <cell r="BT274"/>
          <cell r="BU274"/>
          <cell r="BV274"/>
          <cell r="BW274"/>
          <cell r="BX274"/>
          <cell r="BY274"/>
          <cell r="BZ274"/>
          <cell r="CA274"/>
          <cell r="CB274"/>
          <cell r="CC274"/>
          <cell r="CD274"/>
          <cell r="CE274"/>
          <cell r="CF274"/>
          <cell r="CG274"/>
          <cell r="CH274"/>
        </row>
        <row r="275">
          <cell r="B275"/>
          <cell r="C275"/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  <cell r="BE275"/>
          <cell r="BF275"/>
          <cell r="BG275"/>
          <cell r="BH275"/>
          <cell r="BI275"/>
          <cell r="BJ275"/>
          <cell r="BK275"/>
          <cell r="BL275"/>
          <cell r="BN275"/>
          <cell r="BO275"/>
          <cell r="BP275"/>
          <cell r="BQ275"/>
          <cell r="BR275"/>
          <cell r="BS275"/>
          <cell r="BT275"/>
          <cell r="BU275"/>
          <cell r="BV275"/>
          <cell r="BW275"/>
          <cell r="BX275"/>
          <cell r="BY275"/>
          <cell r="BZ275"/>
          <cell r="CA275"/>
          <cell r="CB275"/>
          <cell r="CC275"/>
          <cell r="CD275"/>
          <cell r="CE275"/>
          <cell r="CF275"/>
          <cell r="CG275"/>
          <cell r="CH275"/>
        </row>
        <row r="276">
          <cell r="B276"/>
          <cell r="C276"/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  <cell r="BE276"/>
          <cell r="BF276"/>
          <cell r="BG276"/>
          <cell r="BH276"/>
          <cell r="BI276"/>
          <cell r="BJ276"/>
          <cell r="BK276"/>
          <cell r="BL276"/>
          <cell r="BN276"/>
          <cell r="BO276"/>
          <cell r="BP276"/>
          <cell r="BQ276"/>
          <cell r="BR276"/>
          <cell r="BS276"/>
          <cell r="BT276"/>
          <cell r="BU276"/>
          <cell r="BV276"/>
          <cell r="BW276"/>
          <cell r="BX276"/>
          <cell r="BY276"/>
          <cell r="BZ276"/>
          <cell r="CA276"/>
          <cell r="CB276"/>
          <cell r="CC276"/>
          <cell r="CD276"/>
          <cell r="CE276"/>
          <cell r="CF276"/>
          <cell r="CG276"/>
          <cell r="CH276"/>
        </row>
        <row r="277">
          <cell r="B277"/>
          <cell r="C277"/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  <cell r="BE277"/>
          <cell r="BF277"/>
          <cell r="BG277"/>
          <cell r="BH277"/>
          <cell r="BI277"/>
          <cell r="BJ277"/>
          <cell r="BK277"/>
          <cell r="BL277"/>
          <cell r="BN277"/>
          <cell r="BO277"/>
          <cell r="BP277"/>
          <cell r="BQ277"/>
          <cell r="BR277"/>
          <cell r="BS277"/>
          <cell r="BT277"/>
          <cell r="BU277"/>
          <cell r="BV277"/>
          <cell r="BW277"/>
          <cell r="BX277"/>
          <cell r="BY277"/>
          <cell r="BZ277"/>
          <cell r="CA277"/>
          <cell r="CB277"/>
          <cell r="CC277"/>
          <cell r="CD277"/>
          <cell r="CE277"/>
          <cell r="CF277"/>
          <cell r="CG277"/>
          <cell r="CH277"/>
        </row>
        <row r="278">
          <cell r="B278"/>
          <cell r="C278"/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  <cell r="BE278"/>
          <cell r="BF278"/>
          <cell r="BG278"/>
          <cell r="BH278"/>
          <cell r="BI278"/>
          <cell r="BJ278"/>
          <cell r="BK278"/>
          <cell r="BL278"/>
          <cell r="BN278"/>
          <cell r="BO278"/>
          <cell r="BP278"/>
          <cell r="BQ278"/>
          <cell r="BR278"/>
          <cell r="BS278"/>
          <cell r="BT278"/>
          <cell r="BU278"/>
          <cell r="BV278"/>
          <cell r="BW278"/>
          <cell r="BX278"/>
          <cell r="BY278"/>
          <cell r="BZ278"/>
          <cell r="CA278"/>
          <cell r="CB278"/>
          <cell r="CC278"/>
          <cell r="CD278"/>
          <cell r="CE278"/>
          <cell r="CF278"/>
          <cell r="CG278"/>
          <cell r="CH278"/>
        </row>
        <row r="279">
          <cell r="B279"/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  <cell r="BH279"/>
          <cell r="BI279"/>
          <cell r="BJ279"/>
          <cell r="BK279"/>
          <cell r="BL279"/>
          <cell r="BN279"/>
          <cell r="BO279"/>
          <cell r="BP279"/>
          <cell r="BQ279"/>
          <cell r="BR279"/>
          <cell r="BS279"/>
          <cell r="BT279"/>
          <cell r="BU279"/>
          <cell r="BV279"/>
          <cell r="BW279"/>
          <cell r="BX279"/>
          <cell r="BY279"/>
          <cell r="BZ279"/>
          <cell r="CA279"/>
          <cell r="CB279"/>
          <cell r="CC279"/>
          <cell r="CD279"/>
          <cell r="CE279"/>
          <cell r="CF279"/>
          <cell r="CG279"/>
          <cell r="CH279"/>
        </row>
        <row r="280">
          <cell r="B280"/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  <cell r="BH280"/>
          <cell r="BI280"/>
          <cell r="BJ280"/>
          <cell r="BK280"/>
          <cell r="BL280"/>
          <cell r="BN280"/>
          <cell r="BO280"/>
          <cell r="BP280"/>
          <cell r="BQ280"/>
          <cell r="BR280"/>
          <cell r="BS280"/>
          <cell r="BT280"/>
          <cell r="BU280"/>
          <cell r="BV280"/>
          <cell r="BW280"/>
          <cell r="BX280"/>
          <cell r="BY280"/>
          <cell r="BZ280"/>
          <cell r="CA280"/>
          <cell r="CB280"/>
          <cell r="CC280"/>
          <cell r="CD280"/>
          <cell r="CE280"/>
          <cell r="CF280"/>
          <cell r="CG280"/>
          <cell r="CH280"/>
        </row>
        <row r="281">
          <cell r="B281"/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  <cell r="BE281"/>
          <cell r="BF281"/>
          <cell r="BG281"/>
          <cell r="BH281"/>
          <cell r="BI281"/>
          <cell r="BJ281"/>
          <cell r="BK281"/>
          <cell r="BL281"/>
          <cell r="BN281"/>
          <cell r="BO281"/>
          <cell r="BP281"/>
          <cell r="BQ281"/>
          <cell r="BR281"/>
          <cell r="BS281"/>
          <cell r="BT281"/>
          <cell r="BU281"/>
          <cell r="BV281"/>
          <cell r="BW281"/>
          <cell r="BX281"/>
          <cell r="BY281"/>
          <cell r="BZ281"/>
          <cell r="CA281"/>
          <cell r="CB281"/>
          <cell r="CC281"/>
          <cell r="CD281"/>
          <cell r="CE281"/>
          <cell r="CF281"/>
          <cell r="CG281"/>
          <cell r="CH281"/>
        </row>
        <row r="282">
          <cell r="B282"/>
          <cell r="C282"/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  <cell r="BH282"/>
          <cell r="BI282"/>
          <cell r="BJ282"/>
          <cell r="BK282"/>
          <cell r="BL282"/>
          <cell r="BN282"/>
          <cell r="BO282"/>
          <cell r="BP282"/>
          <cell r="BQ282"/>
          <cell r="BR282"/>
          <cell r="BS282"/>
          <cell r="BT282"/>
          <cell r="BU282"/>
          <cell r="BV282"/>
          <cell r="BW282"/>
          <cell r="BX282"/>
          <cell r="BY282"/>
          <cell r="BZ282"/>
          <cell r="CA282"/>
          <cell r="CB282"/>
          <cell r="CC282"/>
          <cell r="CD282"/>
          <cell r="CE282"/>
          <cell r="CF282"/>
          <cell r="CG282"/>
          <cell r="CH282"/>
        </row>
        <row r="283">
          <cell r="B283"/>
          <cell r="C283"/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  <cell r="BE283"/>
          <cell r="BF283"/>
          <cell r="BG283"/>
          <cell r="BH283"/>
          <cell r="BI283"/>
          <cell r="BJ283"/>
          <cell r="BK283"/>
          <cell r="BL283"/>
          <cell r="BN283"/>
          <cell r="BO283"/>
          <cell r="BP283"/>
          <cell r="BQ283"/>
          <cell r="BR283"/>
          <cell r="BS283"/>
          <cell r="BT283"/>
          <cell r="BU283"/>
          <cell r="BV283"/>
          <cell r="BW283"/>
          <cell r="BX283"/>
          <cell r="BY283"/>
          <cell r="BZ283"/>
          <cell r="CA283"/>
          <cell r="CB283"/>
          <cell r="CC283"/>
          <cell r="CD283"/>
          <cell r="CE283"/>
          <cell r="CF283"/>
          <cell r="CG283"/>
          <cell r="CH283"/>
        </row>
        <row r="284">
          <cell r="B284"/>
          <cell r="C284"/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  <cell r="BH284"/>
          <cell r="BI284"/>
          <cell r="BJ284"/>
          <cell r="BK284"/>
          <cell r="BL284"/>
          <cell r="BN284"/>
          <cell r="BO284"/>
          <cell r="BP284"/>
          <cell r="BQ284"/>
          <cell r="BR284"/>
          <cell r="BS284"/>
          <cell r="BT284"/>
          <cell r="BU284"/>
          <cell r="BV284"/>
          <cell r="BW284"/>
          <cell r="BX284"/>
          <cell r="BY284"/>
          <cell r="BZ284"/>
          <cell r="CA284"/>
          <cell r="CB284"/>
          <cell r="CC284"/>
          <cell r="CD284"/>
          <cell r="CE284"/>
          <cell r="CF284"/>
          <cell r="CG284"/>
          <cell r="CH284"/>
        </row>
        <row r="285">
          <cell r="B285"/>
          <cell r="C285"/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  <cell r="BE285"/>
          <cell r="BF285"/>
          <cell r="BG285"/>
          <cell r="BH285"/>
          <cell r="BI285"/>
          <cell r="BJ285"/>
          <cell r="BK285"/>
          <cell r="BL285"/>
          <cell r="BN285"/>
          <cell r="BO285"/>
          <cell r="BP285"/>
          <cell r="BQ285"/>
          <cell r="BR285"/>
          <cell r="BS285"/>
          <cell r="BT285"/>
          <cell r="BU285"/>
          <cell r="BV285"/>
          <cell r="BW285"/>
          <cell r="BX285"/>
          <cell r="BY285"/>
          <cell r="BZ285"/>
          <cell r="CA285"/>
          <cell r="CB285"/>
          <cell r="CC285"/>
          <cell r="CD285"/>
          <cell r="CE285"/>
          <cell r="CF285"/>
          <cell r="CG285"/>
          <cell r="CH285"/>
        </row>
        <row r="286">
          <cell r="B286"/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  <cell r="BE286"/>
          <cell r="BF286"/>
          <cell r="BG286"/>
          <cell r="BH286"/>
          <cell r="BI286"/>
          <cell r="BJ286"/>
          <cell r="BK286"/>
          <cell r="BL286"/>
          <cell r="BN286"/>
          <cell r="BO286"/>
          <cell r="BP286"/>
          <cell r="BQ286"/>
          <cell r="BR286"/>
          <cell r="BS286"/>
          <cell r="BT286"/>
          <cell r="BU286"/>
          <cell r="BV286"/>
          <cell r="BW286"/>
          <cell r="BX286"/>
          <cell r="BY286"/>
          <cell r="BZ286"/>
          <cell r="CA286"/>
          <cell r="CB286"/>
          <cell r="CC286"/>
          <cell r="CD286"/>
          <cell r="CE286"/>
          <cell r="CF286"/>
          <cell r="CG286"/>
          <cell r="CH286"/>
        </row>
        <row r="287">
          <cell r="B287"/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  <cell r="BE287"/>
          <cell r="BF287"/>
          <cell r="BG287"/>
          <cell r="BH287"/>
          <cell r="BI287"/>
          <cell r="BJ287"/>
          <cell r="BK287"/>
          <cell r="BL287"/>
          <cell r="BN287"/>
          <cell r="BO287"/>
          <cell r="BP287"/>
          <cell r="BQ287"/>
          <cell r="BR287"/>
          <cell r="BS287"/>
          <cell r="BT287"/>
          <cell r="BU287"/>
          <cell r="BV287"/>
          <cell r="BW287"/>
          <cell r="BX287"/>
          <cell r="BY287"/>
          <cell r="BZ287"/>
          <cell r="CA287"/>
          <cell r="CB287"/>
          <cell r="CC287"/>
          <cell r="CD287"/>
          <cell r="CE287"/>
          <cell r="CF287"/>
          <cell r="CG287"/>
          <cell r="CH287"/>
        </row>
        <row r="288">
          <cell r="B288"/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  <cell r="BE288"/>
          <cell r="BF288"/>
          <cell r="BG288"/>
          <cell r="BH288"/>
          <cell r="BI288"/>
          <cell r="BJ288"/>
          <cell r="BK288"/>
          <cell r="BL288"/>
          <cell r="BN288"/>
          <cell r="BO288"/>
          <cell r="BP288"/>
          <cell r="BQ288"/>
          <cell r="BR288"/>
          <cell r="BS288"/>
          <cell r="BT288"/>
          <cell r="BU288"/>
          <cell r="BV288"/>
          <cell r="BW288"/>
          <cell r="BX288"/>
          <cell r="BY288"/>
          <cell r="BZ288"/>
          <cell r="CA288"/>
          <cell r="CB288"/>
          <cell r="CC288"/>
          <cell r="CD288"/>
          <cell r="CE288"/>
          <cell r="CF288"/>
          <cell r="CG288"/>
          <cell r="CH288"/>
        </row>
        <row r="289">
          <cell r="B289"/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  <cell r="BE289"/>
          <cell r="BF289"/>
          <cell r="BG289"/>
          <cell r="BH289"/>
          <cell r="BI289"/>
          <cell r="BJ289"/>
          <cell r="BK289"/>
          <cell r="BL289"/>
          <cell r="BN289"/>
          <cell r="BO289"/>
          <cell r="BP289"/>
          <cell r="BQ289"/>
          <cell r="BR289"/>
          <cell r="BS289"/>
          <cell r="BT289"/>
          <cell r="BU289"/>
          <cell r="BV289"/>
          <cell r="BW289"/>
          <cell r="BX289"/>
          <cell r="BY289"/>
          <cell r="BZ289"/>
          <cell r="CA289"/>
          <cell r="CB289"/>
          <cell r="CC289"/>
          <cell r="CD289"/>
          <cell r="CE289"/>
          <cell r="CF289"/>
          <cell r="CG289"/>
          <cell r="CH289"/>
        </row>
        <row r="290">
          <cell r="B290"/>
          <cell r="C290"/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  <cell r="BE290"/>
          <cell r="BF290"/>
          <cell r="BG290"/>
          <cell r="BH290"/>
          <cell r="BI290"/>
          <cell r="BJ290"/>
          <cell r="BK290"/>
          <cell r="BL290"/>
          <cell r="BN290"/>
          <cell r="BO290"/>
          <cell r="BP290"/>
          <cell r="BQ290"/>
          <cell r="BR290"/>
          <cell r="BS290"/>
          <cell r="BT290"/>
          <cell r="BU290"/>
          <cell r="BV290"/>
          <cell r="BW290"/>
          <cell r="BX290"/>
          <cell r="BY290"/>
          <cell r="BZ290"/>
          <cell r="CA290"/>
          <cell r="CB290"/>
          <cell r="CC290"/>
          <cell r="CD290"/>
          <cell r="CE290"/>
          <cell r="CF290"/>
          <cell r="CG290"/>
          <cell r="CH290"/>
        </row>
        <row r="291">
          <cell r="B291"/>
          <cell r="C291"/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  <cell r="BE291"/>
          <cell r="BF291"/>
          <cell r="BG291"/>
          <cell r="BH291"/>
          <cell r="BI291"/>
          <cell r="BJ291"/>
          <cell r="BK291"/>
          <cell r="BL291"/>
          <cell r="BN291"/>
          <cell r="BO291"/>
          <cell r="BP291"/>
          <cell r="BQ291"/>
          <cell r="BR291"/>
          <cell r="BS291"/>
          <cell r="BT291"/>
          <cell r="BU291"/>
          <cell r="BV291"/>
          <cell r="BW291"/>
          <cell r="BX291"/>
          <cell r="BY291"/>
          <cell r="BZ291"/>
          <cell r="CA291"/>
          <cell r="CB291"/>
          <cell r="CC291"/>
          <cell r="CD291"/>
          <cell r="CE291"/>
          <cell r="CF291"/>
          <cell r="CG291"/>
          <cell r="CH291"/>
        </row>
        <row r="292">
          <cell r="B292"/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  <cell r="BE292"/>
          <cell r="BF292"/>
          <cell r="BG292"/>
          <cell r="BH292"/>
          <cell r="BI292"/>
          <cell r="BJ292"/>
          <cell r="BK292"/>
          <cell r="BL292"/>
          <cell r="BN292"/>
          <cell r="BO292"/>
          <cell r="BP292"/>
          <cell r="BQ292"/>
          <cell r="BR292"/>
          <cell r="BS292"/>
          <cell r="BT292"/>
          <cell r="BU292"/>
          <cell r="BV292"/>
          <cell r="BW292"/>
          <cell r="BX292"/>
          <cell r="BY292"/>
          <cell r="BZ292"/>
          <cell r="CA292"/>
          <cell r="CB292"/>
          <cell r="CC292"/>
          <cell r="CD292"/>
          <cell r="CE292"/>
          <cell r="CF292"/>
          <cell r="CG292"/>
          <cell r="CH292"/>
        </row>
        <row r="293">
          <cell r="B293"/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  <cell r="BE293"/>
          <cell r="BF293"/>
          <cell r="BG293"/>
          <cell r="BH293"/>
          <cell r="BI293"/>
          <cell r="BJ293"/>
          <cell r="BK293"/>
          <cell r="BL293"/>
          <cell r="BN293"/>
          <cell r="BO293"/>
          <cell r="BP293"/>
          <cell r="BQ293"/>
          <cell r="BR293"/>
          <cell r="BS293"/>
          <cell r="BT293"/>
          <cell r="BU293"/>
          <cell r="BV293"/>
          <cell r="BW293"/>
          <cell r="BX293"/>
          <cell r="BY293"/>
          <cell r="BZ293"/>
          <cell r="CA293"/>
          <cell r="CB293"/>
          <cell r="CC293"/>
          <cell r="CD293"/>
          <cell r="CE293"/>
          <cell r="CF293"/>
          <cell r="CG293"/>
          <cell r="CH293"/>
        </row>
        <row r="294">
          <cell r="B294"/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  <cell r="BE294"/>
          <cell r="BF294"/>
          <cell r="BG294"/>
          <cell r="BH294"/>
          <cell r="BI294"/>
          <cell r="BJ294"/>
          <cell r="BK294"/>
          <cell r="BL294"/>
          <cell r="BN294"/>
          <cell r="BO294"/>
          <cell r="BP294"/>
          <cell r="BQ294"/>
          <cell r="BR294"/>
          <cell r="BS294"/>
          <cell r="BT294"/>
          <cell r="BU294"/>
          <cell r="BV294"/>
          <cell r="BW294"/>
          <cell r="BX294"/>
          <cell r="BY294"/>
          <cell r="BZ294"/>
          <cell r="CA294"/>
          <cell r="CB294"/>
          <cell r="CC294"/>
          <cell r="CD294"/>
          <cell r="CE294"/>
          <cell r="CF294"/>
          <cell r="CG294"/>
          <cell r="CH294"/>
        </row>
        <row r="295">
          <cell r="B295"/>
          <cell r="C295"/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  <cell r="BE295"/>
          <cell r="BF295"/>
          <cell r="BG295"/>
          <cell r="BH295"/>
          <cell r="BI295"/>
          <cell r="BJ295"/>
          <cell r="BK295"/>
          <cell r="BL295"/>
          <cell r="BN295"/>
          <cell r="BO295"/>
          <cell r="BP295"/>
          <cell r="BQ295"/>
          <cell r="BR295"/>
          <cell r="BS295"/>
          <cell r="BT295"/>
          <cell r="BU295"/>
          <cell r="BV295"/>
          <cell r="BW295"/>
          <cell r="BX295"/>
          <cell r="BY295"/>
          <cell r="BZ295"/>
          <cell r="CA295"/>
          <cell r="CB295"/>
          <cell r="CC295"/>
          <cell r="CD295"/>
          <cell r="CE295"/>
          <cell r="CF295"/>
          <cell r="CG295"/>
          <cell r="CH295"/>
        </row>
        <row r="296">
          <cell r="B296"/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  <cell r="BE296"/>
          <cell r="BF296"/>
          <cell r="BG296"/>
          <cell r="BH296"/>
          <cell r="BI296"/>
          <cell r="BJ296"/>
          <cell r="BK296"/>
          <cell r="BL296"/>
          <cell r="BN296"/>
          <cell r="BO296"/>
          <cell r="BP296"/>
          <cell r="BQ296"/>
          <cell r="BR296"/>
          <cell r="BS296"/>
          <cell r="BT296"/>
          <cell r="BU296"/>
          <cell r="BV296"/>
          <cell r="BW296"/>
          <cell r="BX296"/>
          <cell r="BY296"/>
          <cell r="BZ296"/>
          <cell r="CA296"/>
          <cell r="CB296"/>
          <cell r="CC296"/>
          <cell r="CD296"/>
          <cell r="CE296"/>
          <cell r="CF296"/>
          <cell r="CG296"/>
          <cell r="CH296"/>
        </row>
        <row r="297">
          <cell r="B297"/>
          <cell r="C297"/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/>
          <cell r="AO297"/>
          <cell r="AP297"/>
          <cell r="AQ297"/>
          <cell r="AR297"/>
          <cell r="AS297"/>
          <cell r="AT297"/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  <cell r="BE297"/>
          <cell r="BF297"/>
          <cell r="BG297"/>
          <cell r="BH297"/>
          <cell r="BI297"/>
          <cell r="BJ297"/>
          <cell r="BK297"/>
          <cell r="BL297"/>
          <cell r="BN297"/>
          <cell r="BO297"/>
          <cell r="BP297"/>
          <cell r="BQ297"/>
          <cell r="BR297"/>
          <cell r="BS297"/>
          <cell r="BT297"/>
          <cell r="BU297"/>
          <cell r="BV297"/>
          <cell r="BW297"/>
          <cell r="BX297"/>
          <cell r="BY297"/>
          <cell r="BZ297"/>
          <cell r="CA297"/>
          <cell r="CB297"/>
          <cell r="CC297"/>
          <cell r="CD297"/>
          <cell r="CE297"/>
          <cell r="CF297"/>
          <cell r="CG297"/>
          <cell r="CH297"/>
        </row>
        <row r="298">
          <cell r="B298"/>
          <cell r="C298"/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/>
          <cell r="AO298"/>
          <cell r="AP298"/>
          <cell r="AQ298"/>
          <cell r="AR298"/>
          <cell r="AS298"/>
          <cell r="AT298"/>
          <cell r="AU298"/>
          <cell r="AV298"/>
          <cell r="AW298"/>
          <cell r="AX298"/>
          <cell r="AY298"/>
          <cell r="AZ298"/>
          <cell r="BA298"/>
          <cell r="BB298"/>
          <cell r="BC298"/>
          <cell r="BD298"/>
          <cell r="BE298"/>
          <cell r="BF298"/>
          <cell r="BG298"/>
          <cell r="BH298"/>
          <cell r="BI298"/>
          <cell r="BJ298"/>
          <cell r="BK298"/>
          <cell r="BL298"/>
          <cell r="BN298"/>
          <cell r="BO298"/>
          <cell r="BP298"/>
          <cell r="BQ298"/>
          <cell r="BR298"/>
          <cell r="BS298"/>
          <cell r="BT298"/>
          <cell r="BU298"/>
          <cell r="BV298"/>
          <cell r="BW298"/>
          <cell r="BX298"/>
          <cell r="BY298"/>
          <cell r="BZ298"/>
          <cell r="CA298"/>
          <cell r="CB298"/>
          <cell r="CC298"/>
          <cell r="CD298"/>
          <cell r="CE298"/>
          <cell r="CF298"/>
          <cell r="CG298"/>
          <cell r="CH298"/>
        </row>
        <row r="299">
          <cell r="B299"/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/>
          <cell r="AO299"/>
          <cell r="AP299"/>
          <cell r="AQ299"/>
          <cell r="AR299"/>
          <cell r="AS299"/>
          <cell r="AT299"/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  <cell r="BE299"/>
          <cell r="BF299"/>
          <cell r="BG299"/>
          <cell r="BH299"/>
          <cell r="BI299"/>
          <cell r="BJ299"/>
          <cell r="BK299"/>
          <cell r="BL299"/>
          <cell r="BN299"/>
          <cell r="BO299"/>
          <cell r="BP299"/>
          <cell r="BQ299"/>
          <cell r="BR299"/>
          <cell r="BS299"/>
          <cell r="BT299"/>
          <cell r="BU299"/>
          <cell r="BV299"/>
          <cell r="BW299"/>
          <cell r="BX299"/>
          <cell r="BY299"/>
          <cell r="BZ299"/>
          <cell r="CA299"/>
          <cell r="CB299"/>
          <cell r="CC299"/>
          <cell r="CD299"/>
          <cell r="CE299"/>
          <cell r="CF299"/>
          <cell r="CG299"/>
          <cell r="CH299"/>
        </row>
        <row r="300">
          <cell r="B300"/>
          <cell r="C300"/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  <cell r="BE300"/>
          <cell r="BF300"/>
          <cell r="BG300"/>
          <cell r="BH300"/>
          <cell r="BI300"/>
          <cell r="BJ300"/>
          <cell r="BK300"/>
          <cell r="BL300"/>
          <cell r="BN300"/>
          <cell r="BO300"/>
          <cell r="BP300"/>
          <cell r="BQ300"/>
          <cell r="BR300"/>
          <cell r="BS300"/>
          <cell r="BT300"/>
          <cell r="BU300"/>
          <cell r="BV300"/>
          <cell r="BW300"/>
          <cell r="BX300"/>
          <cell r="BY300"/>
          <cell r="BZ300"/>
          <cell r="CA300"/>
          <cell r="CB300"/>
          <cell r="CC300"/>
          <cell r="CD300"/>
          <cell r="CE300"/>
          <cell r="CF300"/>
          <cell r="CG300"/>
          <cell r="CH300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7B82-F163-439B-96EE-CA42FEF69983}">
  <sheetPr codeName="Sheet2"/>
  <dimension ref="A1:N20"/>
  <sheetViews>
    <sheetView zoomScale="115" zoomScaleNormal="115" workbookViewId="0">
      <selection activeCell="L8" sqref="L8"/>
    </sheetView>
  </sheetViews>
  <sheetFormatPr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ht="18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4" ht="23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N6" s="2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N7" s="2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N8" s="2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N9" s="2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504825</xdr:colOff>
                <xdr:row>5</xdr:row>
                <xdr:rowOff>171450</xdr:rowOff>
              </from>
              <to>
                <xdr:col>7</xdr:col>
                <xdr:colOff>47625</xdr:colOff>
                <xdr:row>9</xdr:row>
                <xdr:rowOff>142875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510"/>
  <sheetViews>
    <sheetView tabSelected="1" zoomScale="85" zoomScaleNormal="85" workbookViewId="0">
      <selection activeCell="K9" sqref="K9"/>
    </sheetView>
  </sheetViews>
  <sheetFormatPr defaultRowHeight="15.75" outlineLevelCol="1" x14ac:dyDescent="0.25"/>
  <cols>
    <col min="1" max="1" width="16.28515625" style="11" customWidth="1" outlineLevel="1"/>
    <col min="2" max="7" width="9.140625" style="11" customWidth="1" outlineLevel="1"/>
    <col min="8" max="8" width="22.5703125" style="11" customWidth="1"/>
    <col min="9" max="16" width="10.28515625" style="11" customWidth="1"/>
    <col min="17" max="17" width="10.28515625" style="15" customWidth="1"/>
    <col min="18" max="20" width="13.5703125" style="16" customWidth="1"/>
    <col min="21" max="21" width="13.5703125" style="15" customWidth="1"/>
    <col min="22" max="24" width="13.5703125" style="16" customWidth="1"/>
    <col min="25" max="25" width="13.5703125" style="15" customWidth="1"/>
    <col min="26" max="28" width="13.5703125" style="16" customWidth="1"/>
    <col min="29" max="29" width="13.5703125" style="15" customWidth="1"/>
    <col min="30" max="33" width="12" style="11" customWidth="1"/>
    <col min="34" max="16384" width="9.140625" style="11"/>
  </cols>
  <sheetData>
    <row r="1" spans="1:29" s="2" customFormat="1" ht="49.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508</v>
      </c>
      <c r="H1" s="3" t="s">
        <v>0</v>
      </c>
      <c r="I1" s="3" t="s">
        <v>1</v>
      </c>
      <c r="J1" s="3" t="s">
        <v>2</v>
      </c>
      <c r="K1" s="3" t="s">
        <v>3</v>
      </c>
      <c r="L1" s="3" t="s">
        <v>4</v>
      </c>
      <c r="M1" s="3" t="s">
        <v>5</v>
      </c>
      <c r="N1" s="3" t="s">
        <v>500</v>
      </c>
      <c r="O1" s="3" t="s">
        <v>501</v>
      </c>
      <c r="P1" s="3" t="s">
        <v>502</v>
      </c>
      <c r="Q1" s="4" t="s">
        <v>503</v>
      </c>
      <c r="R1" s="5" t="s">
        <v>504</v>
      </c>
      <c r="S1" s="5" t="s">
        <v>505</v>
      </c>
      <c r="T1" s="5" t="s">
        <v>507</v>
      </c>
      <c r="U1" s="6" t="s">
        <v>506</v>
      </c>
      <c r="V1" s="7" t="s">
        <v>504</v>
      </c>
      <c r="W1" s="7" t="s">
        <v>505</v>
      </c>
      <c r="X1" s="7" t="s">
        <v>507</v>
      </c>
      <c r="Y1" s="8" t="s">
        <v>506</v>
      </c>
      <c r="Z1" s="9" t="s">
        <v>504</v>
      </c>
      <c r="AA1" s="9" t="s">
        <v>505</v>
      </c>
      <c r="AB1" s="9" t="s">
        <v>507</v>
      </c>
      <c r="AC1" s="10" t="s">
        <v>506</v>
      </c>
    </row>
    <row r="2" spans="1:29" ht="24" customHeight="1" x14ac:dyDescent="0.25">
      <c r="A2" s="11">
        <v>33799</v>
      </c>
      <c r="B2" s="17">
        <v>0</v>
      </c>
      <c r="C2" s="17">
        <v>4.91</v>
      </c>
      <c r="D2" s="17">
        <v>1.8</v>
      </c>
      <c r="E2" s="17">
        <v>0</v>
      </c>
      <c r="F2" s="17">
        <v>1.19</v>
      </c>
      <c r="G2" s="22">
        <f t="shared" ref="G2:G65" si="0">SUM(B2:F2)</f>
        <v>7.9</v>
      </c>
      <c r="H2" s="12" t="s">
        <v>199</v>
      </c>
      <c r="I2" s="18">
        <f>SUMIF($A$2:$A$1000,$H$2,B$2:B$1000)</f>
        <v>0</v>
      </c>
      <c r="J2" s="18">
        <f>SUMIF($A$2:$A$1000,$H$2,C$2:C$1000)</f>
        <v>5.5380000000000003</v>
      </c>
      <c r="K2" s="18">
        <f>SUMIF($A$2:$A$1000,$H$2,D$2:D$1000)</f>
        <v>3.4870000000000001</v>
      </c>
      <c r="L2" s="18">
        <f>SUMIF($A$2:$A$1000,$H$2,E$2:E$1000)</f>
        <v>0.10100000000000001</v>
      </c>
      <c r="M2" s="18">
        <f>SUMIF($A$2:$A$1000,$H$2,F$2:F$1000)</f>
        <v>0.85399999999999998</v>
      </c>
      <c r="N2" s="13">
        <v>17</v>
      </c>
      <c r="O2" s="13">
        <v>300</v>
      </c>
      <c r="P2" s="13"/>
      <c r="Q2" s="14">
        <v>1</v>
      </c>
      <c r="R2" s="19" t="str">
        <f>IFERROR((SUM($I$2:$J$2)*$O$2)/($Q$2*$P$2),"")</f>
        <v/>
      </c>
      <c r="S2" s="19">
        <f>IFERROR(($Q$2*$N$2*$P$2)/SUM($I$2:$J$2),"")</f>
        <v>0</v>
      </c>
      <c r="T2" s="19">
        <f>IFERROR((SUM($I$2:$J$2)*$O$2)/($N$2*$Q$2),"")</f>
        <v>97.729411764705887</v>
      </c>
      <c r="U2" s="20" t="str">
        <f>IFERROR((SUM($I$2:$J$2)*$O$2)/($N$2*$P$2),"")</f>
        <v/>
      </c>
      <c r="V2" s="19" t="str">
        <f>IFERROR((SUM($K$2)*$O$2)/($Q$2*$P$2),"")</f>
        <v/>
      </c>
      <c r="W2" s="19">
        <f>IFERROR(($Q$2*$N$2*$P$2)/SUM($K$2),"")</f>
        <v>0</v>
      </c>
      <c r="X2" s="19">
        <f>IFERROR((SUM($K$2)*$O$2)/($N$2*$Q$2),"")</f>
        <v>61.535294117647069</v>
      </c>
      <c r="Y2" s="20" t="str">
        <f>IFERROR((SUM($K$2)*$O$2)/($N$2*$P$2),"")</f>
        <v/>
      </c>
      <c r="Z2" s="19" t="str">
        <f>IFERROR((SUM($L$2:$M$2)*$O$2)/($Q$2*$P$2),"")</f>
        <v/>
      </c>
      <c r="AA2" s="19">
        <f>IFERROR(($Q$2*$N$2*$P$2)/SUM($L$2:$M$2),"")</f>
        <v>0</v>
      </c>
      <c r="AB2" s="19">
        <f>IFERROR((SUM($L$2:$M$2)*$O$2)/($N$2*$Q$2),"")</f>
        <v>16.852941176470587</v>
      </c>
      <c r="AC2" s="20" t="str">
        <f>IFERROR((SUM($L$2:$M$2)*$O$2)/($N$2*$P$2),"")</f>
        <v/>
      </c>
    </row>
    <row r="3" spans="1:29" ht="25.5" customHeight="1" x14ac:dyDescent="0.25">
      <c r="A3" s="11">
        <v>6236009306</v>
      </c>
      <c r="B3" s="17">
        <v>0</v>
      </c>
      <c r="C3" s="17">
        <v>0.98</v>
      </c>
      <c r="D3" s="17">
        <v>2.5499999999999998</v>
      </c>
      <c r="E3" s="17">
        <v>0</v>
      </c>
      <c r="F3" s="17">
        <v>0.97</v>
      </c>
      <c r="G3" s="22">
        <f t="shared" si="0"/>
        <v>4.5</v>
      </c>
      <c r="H3" s="12" t="s">
        <v>199</v>
      </c>
      <c r="I3" s="18">
        <f>SUMIF($H$6:$H$1004,$H$3,I$6:I$1004)</f>
        <v>0</v>
      </c>
      <c r="J3" s="18">
        <f>SUMIF($H$6:$H$1004,$H$3,J$6:J$1004)</f>
        <v>4.4780000000000006</v>
      </c>
      <c r="K3" s="18">
        <f>SUMIF($H$6:$H$1004,$H$3,K$6:K$1004)</f>
        <v>3.4319999999999999</v>
      </c>
      <c r="L3" s="18">
        <f>SUMIF($H$6:$H$1004,$H$3,L$6:L$1004)</f>
        <v>0.17200000000000001</v>
      </c>
      <c r="M3" s="18">
        <f>SUMIF($H$6:$H$1004,$H$3,M$6:M$1004)</f>
        <v>1.2929999999999999</v>
      </c>
      <c r="N3" s="13">
        <v>17</v>
      </c>
      <c r="O3" s="13">
        <v>300</v>
      </c>
      <c r="P3" s="13"/>
      <c r="Q3" s="14">
        <v>1</v>
      </c>
      <c r="R3" s="19" t="str">
        <f>IFERROR((SUM($I$3:$J$3)*$O$3)/($Q$3*$P$3),"")</f>
        <v/>
      </c>
      <c r="S3" s="19">
        <f>IFERROR(($Q$3*$N$3*$P$3)/SUM($I$3:$J$3),"")</f>
        <v>0</v>
      </c>
      <c r="T3" s="19">
        <f>IFERROR((SUM($I$3:$J$3)*$O$3)/($N$3*$Q$3),"")</f>
        <v>79.023529411764713</v>
      </c>
      <c r="U3" s="20" t="str">
        <f>IFERROR((SUM($I$3:$J$3)*$O$3)/($N$3*$P$3),"")</f>
        <v/>
      </c>
      <c r="V3" s="19" t="str">
        <f>IFERROR((SUM($K$3)*$O$3)/($Q$3*$P$3),"")</f>
        <v/>
      </c>
      <c r="W3" s="19">
        <f>IFERROR(($Q$3*$N$3*$P$3)/SUM($K$3),"")</f>
        <v>0</v>
      </c>
      <c r="X3" s="19">
        <f>IFERROR((SUM($K$3)*$O$3)/($N$3*$Q$3),"")</f>
        <v>60.564705882352939</v>
      </c>
      <c r="Y3" s="20" t="str">
        <f>IFERROR((SUM($K$3)*$O$3)/($N$3*$P$3),"")</f>
        <v/>
      </c>
      <c r="Z3" s="19" t="str">
        <f>IFERROR((SUM($L$3:$M$3)*$O$3)/($Q$3*$P$3),"")</f>
        <v/>
      </c>
      <c r="AA3" s="19">
        <f>IFERROR(($Q$3*$N$3*$P$3)/SUM($L$3:$M$3),"")</f>
        <v>0</v>
      </c>
      <c r="AB3" s="19">
        <f>IFERROR((SUM($L$3:$M$3)*$O$3)/($N$3*$Q$3),"")</f>
        <v>25.852941176470583</v>
      </c>
      <c r="AC3" s="20" t="str">
        <f>IFERROR((SUM($L$3:$M$3)*$O$3)/($N$3*$P$3),"")</f>
        <v/>
      </c>
    </row>
    <row r="4" spans="1:29" x14ac:dyDescent="0.25">
      <c r="A4" s="11">
        <v>6236009307</v>
      </c>
      <c r="B4" s="17">
        <v>0</v>
      </c>
      <c r="C4" s="17">
        <v>0.98</v>
      </c>
      <c r="D4" s="17">
        <v>2.5499999999999998</v>
      </c>
      <c r="E4" s="17">
        <v>0</v>
      </c>
      <c r="F4" s="17">
        <v>0.97</v>
      </c>
      <c r="G4" s="22">
        <f t="shared" si="0"/>
        <v>4.5</v>
      </c>
    </row>
    <row r="5" spans="1:29" ht="24" customHeight="1" x14ac:dyDescent="0.25">
      <c r="A5" s="11" t="s">
        <v>114</v>
      </c>
      <c r="B5" s="17">
        <v>0</v>
      </c>
      <c r="C5" s="17">
        <v>1.4379999999999999</v>
      </c>
      <c r="D5" s="17">
        <v>2.1280000000000001</v>
      </c>
      <c r="E5" s="17">
        <v>0.121</v>
      </c>
      <c r="F5" s="17">
        <v>0.89400000000000002</v>
      </c>
      <c r="G5" s="22">
        <f t="shared" si="0"/>
        <v>4.5809999999999995</v>
      </c>
      <c r="H5" s="3" t="s">
        <v>0</v>
      </c>
      <c r="I5" s="3" t="s">
        <v>1</v>
      </c>
      <c r="J5" s="3" t="s">
        <v>2</v>
      </c>
      <c r="K5" s="3" t="s">
        <v>3</v>
      </c>
      <c r="L5" s="3" t="s">
        <v>4</v>
      </c>
      <c r="M5" s="3" t="s">
        <v>5</v>
      </c>
      <c r="N5" s="3" t="s">
        <v>508</v>
      </c>
      <c r="P5" s="13" t="s">
        <v>510</v>
      </c>
    </row>
    <row r="6" spans="1:29" x14ac:dyDescent="0.25">
      <c r="A6" s="11" t="s">
        <v>113</v>
      </c>
      <c r="B6" s="17">
        <v>0</v>
      </c>
      <c r="C6" s="17">
        <v>1.37</v>
      </c>
      <c r="D6" s="17">
        <v>1.7599999999999998</v>
      </c>
      <c r="E6" s="17">
        <v>0.1</v>
      </c>
      <c r="F6" s="17">
        <v>0.88</v>
      </c>
      <c r="G6" s="22">
        <f t="shared" si="0"/>
        <v>4.1100000000000003</v>
      </c>
      <c r="H6" s="11">
        <v>33799</v>
      </c>
      <c r="I6" s="24" t="str">
        <f>IFERROR(VLOOKUP($H6,'[1]Actual &amp; PO  Analysis 2020'!$A$4:$BJ$300,62,0),"")</f>
        <v/>
      </c>
      <c r="J6" s="24" t="str">
        <f>IFERROR(VLOOKUP($H6,'[1]Actual &amp; PO  Analysis 2020'!$A$4:$BP$300,68,0),"")</f>
        <v/>
      </c>
      <c r="K6" s="24" t="str">
        <f>IFERROR(VLOOKUP($H6,'[1]Actual &amp; PO  Analysis 2020'!$A$4:$BV$300,74,0),"")</f>
        <v/>
      </c>
      <c r="L6" s="24" t="str">
        <f>IFERROR(VLOOKUP($H6,'[1]Actual &amp; PO  Analysis 2020'!$A$4:$CB$300,80,0),"")</f>
        <v/>
      </c>
      <c r="M6" s="24" t="str">
        <f>IFERROR(VLOOKUP($H6,'[1]Actual &amp; PO  Analysis 2020'!$A$4:$CH$300,86,0),"")</f>
        <v/>
      </c>
      <c r="N6" s="25">
        <v>0</v>
      </c>
      <c r="P6" s="13" t="s">
        <v>511</v>
      </c>
    </row>
    <row r="7" spans="1:29" x14ac:dyDescent="0.25">
      <c r="A7" s="11" t="s">
        <v>189</v>
      </c>
      <c r="B7" s="17">
        <v>0</v>
      </c>
      <c r="C7" s="17">
        <v>2.7029999999999998</v>
      </c>
      <c r="D7" s="17">
        <v>2.5710000000000002</v>
      </c>
      <c r="E7" s="17">
        <v>7.8E-2</v>
      </c>
      <c r="F7" s="17">
        <v>0.64800000000000002</v>
      </c>
      <c r="G7" s="22">
        <f t="shared" si="0"/>
        <v>6</v>
      </c>
      <c r="H7" s="11">
        <v>6236009306</v>
      </c>
      <c r="I7" s="24" t="str">
        <f>IFERROR(VLOOKUP($H7,'[1]Actual &amp; PO  Analysis 2020'!$A$4:$BJ$300,62,0),"")</f>
        <v>0</v>
      </c>
      <c r="J7" s="24">
        <f>IFERROR(VLOOKUP($H7,'[1]Actual &amp; PO  Analysis 2020'!$A$4:$BP$300,68,0),"")</f>
        <v>1.8580000000000001</v>
      </c>
      <c r="K7" s="24">
        <f>IFERROR(VLOOKUP($H7,'[1]Actual &amp; PO  Analysis 2020'!$A$4:$BV$300,74,0),"")</f>
        <v>8.3536666666666672</v>
      </c>
      <c r="L7" s="24">
        <f>IFERROR(VLOOKUP($H7,'[1]Actual &amp; PO  Analysis 2020'!$A$4:$CB$300,80,0),"")</f>
        <v>0.44700000000000001</v>
      </c>
      <c r="M7" s="24">
        <f>IFERROR(VLOOKUP($H7,'[1]Actual &amp; PO  Analysis 2020'!$A$4:$CH$300,86,0),"")</f>
        <v>2.7275</v>
      </c>
      <c r="N7" s="25">
        <v>12.111000000000001</v>
      </c>
    </row>
    <row r="8" spans="1:29" x14ac:dyDescent="0.25">
      <c r="A8" s="11" t="s">
        <v>9</v>
      </c>
      <c r="B8" s="17">
        <v>0</v>
      </c>
      <c r="C8" s="17">
        <v>0.8</v>
      </c>
      <c r="D8" s="17">
        <v>1.85</v>
      </c>
      <c r="E8" s="17">
        <v>0.1</v>
      </c>
      <c r="F8" s="17">
        <v>0.34</v>
      </c>
      <c r="G8" s="22">
        <f t="shared" si="0"/>
        <v>3.0900000000000003</v>
      </c>
      <c r="H8" s="11">
        <v>6236009307</v>
      </c>
      <c r="I8" s="24" t="str">
        <f>IFERROR(VLOOKUP($H8,'[1]Actual &amp; PO  Analysis 2020'!$A$4:$BJ$300,62,0),"")</f>
        <v>0</v>
      </c>
      <c r="J8" s="24">
        <f>IFERROR(VLOOKUP($H8,'[1]Actual &amp; PO  Analysis 2020'!$A$4:$BP$300,68,0),"")</f>
        <v>2.3426666666666667</v>
      </c>
      <c r="K8" s="24">
        <f>IFERROR(VLOOKUP($H8,'[1]Actual &amp; PO  Analysis 2020'!$A$4:$BV$300,74,0),"")</f>
        <v>3.7324999999999999</v>
      </c>
      <c r="L8" s="24">
        <f>IFERROR(VLOOKUP($H8,'[1]Actual &amp; PO  Analysis 2020'!$A$4:$CB$300,80,0),"")</f>
        <v>0.27700000000000002</v>
      </c>
      <c r="M8" s="24">
        <f>IFERROR(VLOOKUP($H8,'[1]Actual &amp; PO  Analysis 2020'!$A$4:$CH$300,86,0),"")</f>
        <v>2.7095000000000002</v>
      </c>
      <c r="N8" s="25">
        <v>9.4595000000000002</v>
      </c>
    </row>
    <row r="9" spans="1:29" x14ac:dyDescent="0.25">
      <c r="A9" s="11" t="s">
        <v>8</v>
      </c>
      <c r="B9" s="17">
        <v>0</v>
      </c>
      <c r="C9" s="17">
        <v>0.6</v>
      </c>
      <c r="D9" s="17">
        <v>2.419</v>
      </c>
      <c r="E9" s="17">
        <v>9.4E-2</v>
      </c>
      <c r="F9" s="17">
        <v>0.59099999999999997</v>
      </c>
      <c r="G9" s="22">
        <f t="shared" si="0"/>
        <v>3.7039999999999997</v>
      </c>
      <c r="H9" s="11" t="s">
        <v>114</v>
      </c>
      <c r="I9" s="24" t="str">
        <f>IFERROR(VLOOKUP($H9,'[1]Actual &amp; PO  Analysis 2020'!$A$4:$BJ$300,62,0),"")</f>
        <v/>
      </c>
      <c r="J9" s="24" t="str">
        <f>IFERROR(VLOOKUP($H9,'[1]Actual &amp; PO  Analysis 2020'!$A$4:$BP$300,68,0),"")</f>
        <v/>
      </c>
      <c r="K9" s="24" t="str">
        <f>IFERROR(VLOOKUP($H9,'[1]Actual &amp; PO  Analysis 2020'!$A$4:$BV$300,74,0),"")</f>
        <v/>
      </c>
      <c r="L9" s="24" t="str">
        <f>IFERROR(VLOOKUP($H9,'[1]Actual &amp; PO  Analysis 2020'!$A$4:$CB$300,80,0),"")</f>
        <v/>
      </c>
      <c r="M9" s="24" t="str">
        <f>IFERROR(VLOOKUP($H9,'[1]Actual &amp; PO  Analysis 2020'!$A$4:$CH$300,86,0),"")</f>
        <v/>
      </c>
      <c r="N9" s="25">
        <v>0</v>
      </c>
    </row>
    <row r="10" spans="1:29" x14ac:dyDescent="0.25">
      <c r="A10" s="11" t="s">
        <v>422</v>
      </c>
      <c r="B10" s="17">
        <v>0</v>
      </c>
      <c r="C10" s="17">
        <v>1.92</v>
      </c>
      <c r="D10" s="17">
        <v>2.6399999999999997</v>
      </c>
      <c r="E10" s="17">
        <v>0.1</v>
      </c>
      <c r="F10" s="17">
        <v>0.84</v>
      </c>
      <c r="G10" s="22">
        <f t="shared" si="0"/>
        <v>5.4999999999999991</v>
      </c>
      <c r="H10" s="11" t="s">
        <v>113</v>
      </c>
      <c r="I10" s="24" t="str">
        <f>IFERROR(VLOOKUP($H10,'[1]Actual &amp; PO  Analysis 2020'!$A$4:$BJ$300,62,0),"")</f>
        <v/>
      </c>
      <c r="J10" s="24" t="str">
        <f>IFERROR(VLOOKUP($H10,'[1]Actual &amp; PO  Analysis 2020'!$A$4:$BP$300,68,0),"")</f>
        <v/>
      </c>
      <c r="K10" s="24" t="str">
        <f>IFERROR(VLOOKUP($H10,'[1]Actual &amp; PO  Analysis 2020'!$A$4:$BV$300,74,0),"")</f>
        <v/>
      </c>
      <c r="L10" s="24" t="str">
        <f>IFERROR(VLOOKUP($H10,'[1]Actual &amp; PO  Analysis 2020'!$A$4:$CB$300,80,0),"")</f>
        <v/>
      </c>
      <c r="M10" s="24" t="str">
        <f>IFERROR(VLOOKUP($H10,'[1]Actual &amp; PO  Analysis 2020'!$A$4:$CH$300,86,0),"")</f>
        <v/>
      </c>
      <c r="N10" s="25">
        <v>0</v>
      </c>
    </row>
    <row r="11" spans="1:29" x14ac:dyDescent="0.25">
      <c r="A11" s="11" t="s">
        <v>24</v>
      </c>
      <c r="B11" s="17">
        <v>0</v>
      </c>
      <c r="C11" s="17">
        <v>1.2190000000000001</v>
      </c>
      <c r="D11" s="17">
        <v>2.593</v>
      </c>
      <c r="E11" s="17">
        <v>0.127</v>
      </c>
      <c r="F11" s="17">
        <v>0.85099999999999998</v>
      </c>
      <c r="G11" s="22">
        <f t="shared" si="0"/>
        <v>4.79</v>
      </c>
      <c r="H11" s="11" t="s">
        <v>189</v>
      </c>
      <c r="I11" s="24" t="str">
        <f>IFERROR(VLOOKUP($H11,'[1]Actual &amp; PO  Analysis 2020'!$A$4:$BJ$300,62,0),"")</f>
        <v/>
      </c>
      <c r="J11" s="24" t="str">
        <f>IFERROR(VLOOKUP($H11,'[1]Actual &amp; PO  Analysis 2020'!$A$4:$BP$300,68,0),"")</f>
        <v/>
      </c>
      <c r="K11" s="24" t="str">
        <f>IFERROR(VLOOKUP($H11,'[1]Actual &amp; PO  Analysis 2020'!$A$4:$BV$300,74,0),"")</f>
        <v/>
      </c>
      <c r="L11" s="24" t="str">
        <f>IFERROR(VLOOKUP($H11,'[1]Actual &amp; PO  Analysis 2020'!$A$4:$CB$300,80,0),"")</f>
        <v/>
      </c>
      <c r="M11" s="24" t="str">
        <f>IFERROR(VLOOKUP($H11,'[1]Actual &amp; PO  Analysis 2020'!$A$4:$CH$300,86,0),"")</f>
        <v/>
      </c>
      <c r="N11" s="25">
        <v>0</v>
      </c>
    </row>
    <row r="12" spans="1:29" x14ac:dyDescent="0.25">
      <c r="A12" s="11" t="s">
        <v>25</v>
      </c>
      <c r="B12" s="17">
        <v>0</v>
      </c>
      <c r="C12" s="17">
        <v>2.4449999999999998</v>
      </c>
      <c r="D12" s="17">
        <v>2.6120000000000001</v>
      </c>
      <c r="E12" s="17">
        <v>9.9000000000000005E-2</v>
      </c>
      <c r="F12" s="17">
        <v>1.244</v>
      </c>
      <c r="G12" s="22">
        <f t="shared" si="0"/>
        <v>6.4</v>
      </c>
      <c r="H12" s="11" t="s">
        <v>9</v>
      </c>
      <c r="I12" s="24" t="str">
        <f>IFERROR(VLOOKUP($H12,'[1]Actual &amp; PO  Analysis 2020'!$A$4:$BJ$300,62,0),"")</f>
        <v/>
      </c>
      <c r="J12" s="24" t="str">
        <f>IFERROR(VLOOKUP($H12,'[1]Actual &amp; PO  Analysis 2020'!$A$4:$BP$300,68,0),"")</f>
        <v/>
      </c>
      <c r="K12" s="24" t="str">
        <f>IFERROR(VLOOKUP($H12,'[1]Actual &amp; PO  Analysis 2020'!$A$4:$BV$300,74,0),"")</f>
        <v/>
      </c>
      <c r="L12" s="24" t="str">
        <f>IFERROR(VLOOKUP($H12,'[1]Actual &amp; PO  Analysis 2020'!$A$4:$CB$300,80,0),"")</f>
        <v/>
      </c>
      <c r="M12" s="24" t="str">
        <f>IFERROR(VLOOKUP($H12,'[1]Actual &amp; PO  Analysis 2020'!$A$4:$CH$300,86,0),"")</f>
        <v/>
      </c>
      <c r="N12" s="25">
        <v>0</v>
      </c>
    </row>
    <row r="13" spans="1:29" x14ac:dyDescent="0.25">
      <c r="A13" s="11" t="s">
        <v>175</v>
      </c>
      <c r="B13" s="17">
        <v>0</v>
      </c>
      <c r="C13" s="17">
        <v>0.85</v>
      </c>
      <c r="D13" s="17">
        <v>1.8900000000000001</v>
      </c>
      <c r="E13" s="17">
        <v>0.1</v>
      </c>
      <c r="F13" s="17">
        <v>0.75</v>
      </c>
      <c r="G13" s="22">
        <f t="shared" si="0"/>
        <v>3.5900000000000003</v>
      </c>
      <c r="H13" s="11" t="s">
        <v>8</v>
      </c>
      <c r="I13" s="24" t="str">
        <f>IFERROR(VLOOKUP($H13,'[1]Actual &amp; PO  Analysis 2020'!$A$4:$BJ$300,62,0),"")</f>
        <v/>
      </c>
      <c r="J13" s="24" t="str">
        <f>IFERROR(VLOOKUP($H13,'[1]Actual &amp; PO  Analysis 2020'!$A$4:$BP$300,68,0),"")</f>
        <v/>
      </c>
      <c r="K13" s="24" t="str">
        <f>IFERROR(VLOOKUP($H13,'[1]Actual &amp; PO  Analysis 2020'!$A$4:$BV$300,74,0),"")</f>
        <v/>
      </c>
      <c r="L13" s="24" t="str">
        <f>IFERROR(VLOOKUP($H13,'[1]Actual &amp; PO  Analysis 2020'!$A$4:$CB$300,80,0),"")</f>
        <v/>
      </c>
      <c r="M13" s="24" t="str">
        <f>IFERROR(VLOOKUP($H13,'[1]Actual &amp; PO  Analysis 2020'!$A$4:$CH$300,86,0),"")</f>
        <v/>
      </c>
      <c r="N13" s="25">
        <v>0</v>
      </c>
    </row>
    <row r="14" spans="1:29" x14ac:dyDescent="0.25">
      <c r="A14" s="11" t="s">
        <v>98</v>
      </c>
      <c r="B14" s="17">
        <v>0.45</v>
      </c>
      <c r="C14" s="17">
        <v>0.49</v>
      </c>
      <c r="D14" s="17">
        <v>1.8900000000000001</v>
      </c>
      <c r="E14" s="17">
        <v>0.1</v>
      </c>
      <c r="F14" s="17">
        <v>0.68</v>
      </c>
      <c r="G14" s="22">
        <f t="shared" si="0"/>
        <v>3.6100000000000003</v>
      </c>
      <c r="H14" s="11" t="s">
        <v>422</v>
      </c>
      <c r="I14" s="24" t="str">
        <f>IFERROR(VLOOKUP($H14,'[1]Actual &amp; PO  Analysis 2020'!$A$4:$BJ$300,62,0),"")</f>
        <v/>
      </c>
      <c r="J14" s="24" t="str">
        <f>IFERROR(VLOOKUP($H14,'[1]Actual &amp; PO  Analysis 2020'!$A$4:$BP$300,68,0),"")</f>
        <v/>
      </c>
      <c r="K14" s="24" t="str">
        <f>IFERROR(VLOOKUP($H14,'[1]Actual &amp; PO  Analysis 2020'!$A$4:$BV$300,74,0),"")</f>
        <v/>
      </c>
      <c r="L14" s="24" t="str">
        <f>IFERROR(VLOOKUP($H14,'[1]Actual &amp; PO  Analysis 2020'!$A$4:$CB$300,80,0),"")</f>
        <v/>
      </c>
      <c r="M14" s="24" t="str">
        <f>IFERROR(VLOOKUP($H14,'[1]Actual &amp; PO  Analysis 2020'!$A$4:$CH$300,86,0),"")</f>
        <v/>
      </c>
      <c r="N14" s="25">
        <v>0</v>
      </c>
    </row>
    <row r="15" spans="1:29" x14ac:dyDescent="0.25">
      <c r="A15" s="11" t="s">
        <v>317</v>
      </c>
      <c r="B15" s="17">
        <v>0</v>
      </c>
      <c r="C15" s="17">
        <v>0.93600000000000005</v>
      </c>
      <c r="D15" s="17">
        <v>1.786</v>
      </c>
      <c r="E15" s="17">
        <v>9.5000000000000001E-2</v>
      </c>
      <c r="F15" s="17">
        <v>0.69899999999999995</v>
      </c>
      <c r="G15" s="22">
        <f t="shared" si="0"/>
        <v>3.516</v>
      </c>
      <c r="H15" s="11" t="s">
        <v>24</v>
      </c>
      <c r="I15" s="24" t="str">
        <f>IFERROR(VLOOKUP($H15,'[1]Actual &amp; PO  Analysis 2020'!$A$4:$BJ$300,62,0),"")</f>
        <v/>
      </c>
      <c r="J15" s="24" t="str">
        <f>IFERROR(VLOOKUP($H15,'[1]Actual &amp; PO  Analysis 2020'!$A$4:$BP$300,68,0),"")</f>
        <v/>
      </c>
      <c r="K15" s="24" t="str">
        <f>IFERROR(VLOOKUP($H15,'[1]Actual &amp; PO  Analysis 2020'!$A$4:$BV$300,74,0),"")</f>
        <v/>
      </c>
      <c r="L15" s="24" t="str">
        <f>IFERROR(VLOOKUP($H15,'[1]Actual &amp; PO  Analysis 2020'!$A$4:$CB$300,80,0),"")</f>
        <v/>
      </c>
      <c r="M15" s="24" t="str">
        <f>IFERROR(VLOOKUP($H15,'[1]Actual &amp; PO  Analysis 2020'!$A$4:$CH$300,86,0),"")</f>
        <v/>
      </c>
      <c r="N15" s="25">
        <v>0</v>
      </c>
    </row>
    <row r="16" spans="1:29" x14ac:dyDescent="0.25">
      <c r="A16" s="11" t="s">
        <v>97</v>
      </c>
      <c r="B16" s="17">
        <v>0.48</v>
      </c>
      <c r="C16" s="17">
        <v>0.8</v>
      </c>
      <c r="D16" s="17">
        <v>2.1</v>
      </c>
      <c r="E16" s="17">
        <v>0.1</v>
      </c>
      <c r="F16" s="17"/>
      <c r="G16" s="22">
        <f t="shared" si="0"/>
        <v>3.48</v>
      </c>
      <c r="H16" s="11" t="s">
        <v>25</v>
      </c>
      <c r="I16" s="24" t="str">
        <f>IFERROR(VLOOKUP($H16,'[1]Actual &amp; PO  Analysis 2020'!$A$4:$BJ$300,62,0),"")</f>
        <v/>
      </c>
      <c r="J16" s="24" t="str">
        <f>IFERROR(VLOOKUP($H16,'[1]Actual &amp; PO  Analysis 2020'!$A$4:$BP$300,68,0),"")</f>
        <v/>
      </c>
      <c r="K16" s="24" t="str">
        <f>IFERROR(VLOOKUP($H16,'[1]Actual &amp; PO  Analysis 2020'!$A$4:$BV$300,74,0),"")</f>
        <v/>
      </c>
      <c r="L16" s="24" t="str">
        <f>IFERROR(VLOOKUP($H16,'[1]Actual &amp; PO  Analysis 2020'!$A$4:$CB$300,80,0),"")</f>
        <v/>
      </c>
      <c r="M16" s="24" t="str">
        <f>IFERROR(VLOOKUP($H16,'[1]Actual &amp; PO  Analysis 2020'!$A$4:$CH$300,86,0),"")</f>
        <v/>
      </c>
      <c r="N16" s="25">
        <v>0</v>
      </c>
    </row>
    <row r="17" spans="1:14" x14ac:dyDescent="0.25">
      <c r="A17" s="11" t="s">
        <v>18</v>
      </c>
      <c r="B17" s="17">
        <v>0</v>
      </c>
      <c r="C17" s="17">
        <v>0.94899999999999995</v>
      </c>
      <c r="D17" s="17">
        <v>1.5489999999999999</v>
      </c>
      <c r="E17" s="17">
        <v>7.0999999999999994E-2</v>
      </c>
      <c r="F17" s="17">
        <v>0.48499999999999999</v>
      </c>
      <c r="G17" s="22">
        <f t="shared" si="0"/>
        <v>3.0539999999999998</v>
      </c>
      <c r="H17" s="11" t="s">
        <v>175</v>
      </c>
      <c r="I17" s="24" t="str">
        <f>IFERROR(VLOOKUP($H17,'[1]Actual &amp; PO  Analysis 2020'!$A$4:$BJ$300,62,0),"")</f>
        <v/>
      </c>
      <c r="J17" s="24" t="str">
        <f>IFERROR(VLOOKUP($H17,'[1]Actual &amp; PO  Analysis 2020'!$A$4:$BP$300,68,0),"")</f>
        <v/>
      </c>
      <c r="K17" s="24" t="str">
        <f>IFERROR(VLOOKUP($H17,'[1]Actual &amp; PO  Analysis 2020'!$A$4:$BV$300,74,0),"")</f>
        <v/>
      </c>
      <c r="L17" s="24" t="str">
        <f>IFERROR(VLOOKUP($H17,'[1]Actual &amp; PO  Analysis 2020'!$A$4:$CB$300,80,0),"")</f>
        <v/>
      </c>
      <c r="M17" s="24" t="str">
        <f>IFERROR(VLOOKUP($H17,'[1]Actual &amp; PO  Analysis 2020'!$A$4:$CH$300,86,0),"")</f>
        <v/>
      </c>
      <c r="N17" s="25">
        <v>0</v>
      </c>
    </row>
    <row r="18" spans="1:14" x14ac:dyDescent="0.25">
      <c r="A18" s="11" t="s">
        <v>38</v>
      </c>
      <c r="B18" s="17">
        <v>0</v>
      </c>
      <c r="C18" s="17">
        <v>1.44</v>
      </c>
      <c r="D18" s="17">
        <v>2.0299999999999998</v>
      </c>
      <c r="E18" s="17">
        <v>0.1</v>
      </c>
      <c r="F18" s="17">
        <v>0.74</v>
      </c>
      <c r="G18" s="22">
        <f t="shared" si="0"/>
        <v>4.3099999999999996</v>
      </c>
      <c r="H18" s="11" t="s">
        <v>98</v>
      </c>
      <c r="I18" s="24" t="str">
        <f>IFERROR(VLOOKUP($H18,'[1]Actual &amp; PO  Analysis 2020'!$A$4:$BJ$300,62,0),"")</f>
        <v/>
      </c>
      <c r="J18" s="24" t="str">
        <f>IFERROR(VLOOKUP($H18,'[1]Actual &amp; PO  Analysis 2020'!$A$4:$BP$300,68,0),"")</f>
        <v/>
      </c>
      <c r="K18" s="24" t="str">
        <f>IFERROR(VLOOKUP($H18,'[1]Actual &amp; PO  Analysis 2020'!$A$4:$BV$300,74,0),"")</f>
        <v/>
      </c>
      <c r="L18" s="24" t="str">
        <f>IFERROR(VLOOKUP($H18,'[1]Actual &amp; PO  Analysis 2020'!$A$4:$CB$300,80,0),"")</f>
        <v/>
      </c>
      <c r="M18" s="24" t="str">
        <f>IFERROR(VLOOKUP($H18,'[1]Actual &amp; PO  Analysis 2020'!$A$4:$CH$300,86,0),"")</f>
        <v/>
      </c>
      <c r="N18" s="25">
        <v>0</v>
      </c>
    </row>
    <row r="19" spans="1:14" x14ac:dyDescent="0.25">
      <c r="A19" s="11" t="s">
        <v>171</v>
      </c>
      <c r="B19" s="17">
        <v>0</v>
      </c>
      <c r="C19" s="17">
        <v>1.651</v>
      </c>
      <c r="D19" s="17">
        <v>2.2480000000000002</v>
      </c>
      <c r="E19" s="17">
        <v>0.126</v>
      </c>
      <c r="F19" s="17">
        <v>0.84899999999999998</v>
      </c>
      <c r="G19" s="22">
        <f t="shared" si="0"/>
        <v>4.8740000000000006</v>
      </c>
      <c r="H19" s="11" t="s">
        <v>317</v>
      </c>
      <c r="I19" s="24">
        <f>IFERROR(VLOOKUP($H19,'[1]Actual &amp; PO  Analysis 2020'!$A$4:$BJ$300,62,0),"")</f>
        <v>0.54999999999999993</v>
      </c>
      <c r="J19" s="24">
        <f>IFERROR(VLOOKUP($H19,'[1]Actual &amp; PO  Analysis 2020'!$A$4:$BP$300,68,0),"")</f>
        <v>0.60399999999999998</v>
      </c>
      <c r="K19" s="24">
        <f>IFERROR(VLOOKUP($H19,'[1]Actual &amp; PO  Analysis 2020'!$A$4:$BV$300,74,0),"")</f>
        <v>2.8464999999999998</v>
      </c>
      <c r="L19" s="24">
        <f>IFERROR(VLOOKUP($H19,'[1]Actual &amp; PO  Analysis 2020'!$A$4:$CB$300,80,0),"")</f>
        <v>0.16550000000000001</v>
      </c>
      <c r="M19" s="24">
        <f>IFERROR(VLOOKUP($H19,'[1]Actual &amp; PO  Analysis 2020'!$A$4:$CH$300,86,0),"")</f>
        <v>2.0760000000000001</v>
      </c>
      <c r="N19" s="25">
        <v>6.1530000000000005</v>
      </c>
    </row>
    <row r="20" spans="1:14" x14ac:dyDescent="0.25">
      <c r="A20" s="11" t="s">
        <v>42</v>
      </c>
      <c r="B20" s="17">
        <v>0</v>
      </c>
      <c r="C20" s="17">
        <v>1.44</v>
      </c>
      <c r="D20" s="17">
        <v>1.96</v>
      </c>
      <c r="E20" s="17">
        <v>0.1</v>
      </c>
      <c r="F20" s="17">
        <v>0.61</v>
      </c>
      <c r="G20" s="22">
        <f t="shared" si="0"/>
        <v>4.1100000000000003</v>
      </c>
      <c r="H20" s="11" t="s">
        <v>97</v>
      </c>
      <c r="I20" s="24" t="str">
        <f>IFERROR(VLOOKUP($H20,'[1]Actual &amp; PO  Analysis 2020'!$A$4:$BJ$300,62,0),"")</f>
        <v/>
      </c>
      <c r="J20" s="24" t="str">
        <f>IFERROR(VLOOKUP($H20,'[1]Actual &amp; PO  Analysis 2020'!$A$4:$BP$300,68,0),"")</f>
        <v/>
      </c>
      <c r="K20" s="24" t="str">
        <f>IFERROR(VLOOKUP($H20,'[1]Actual &amp; PO  Analysis 2020'!$A$4:$BV$300,74,0),"")</f>
        <v/>
      </c>
      <c r="L20" s="24" t="str">
        <f>IFERROR(VLOOKUP($H20,'[1]Actual &amp; PO  Analysis 2020'!$A$4:$CB$300,80,0),"")</f>
        <v/>
      </c>
      <c r="M20" s="24" t="str">
        <f>IFERROR(VLOOKUP($H20,'[1]Actual &amp; PO  Analysis 2020'!$A$4:$CH$300,86,0),"")</f>
        <v/>
      </c>
      <c r="N20" s="25">
        <v>0</v>
      </c>
    </row>
    <row r="21" spans="1:14" x14ac:dyDescent="0.25">
      <c r="A21" s="11" t="s">
        <v>43</v>
      </c>
      <c r="B21" s="17">
        <v>0</v>
      </c>
      <c r="C21" s="17">
        <v>1.62</v>
      </c>
      <c r="D21" s="17">
        <v>2.17</v>
      </c>
      <c r="E21" s="17">
        <v>0.1</v>
      </c>
      <c r="F21" s="17">
        <v>0.61</v>
      </c>
      <c r="G21" s="22">
        <f t="shared" si="0"/>
        <v>4.5</v>
      </c>
      <c r="H21" s="11" t="s">
        <v>18</v>
      </c>
      <c r="I21" s="24" t="str">
        <f>IFERROR(VLOOKUP($H21,'[1]Actual &amp; PO  Analysis 2020'!$A$4:$BJ$300,62,0),"")</f>
        <v/>
      </c>
      <c r="J21" s="24" t="str">
        <f>IFERROR(VLOOKUP($H21,'[1]Actual &amp; PO  Analysis 2020'!$A$4:$BP$300,68,0),"")</f>
        <v/>
      </c>
      <c r="K21" s="24" t="str">
        <f>IFERROR(VLOOKUP($H21,'[1]Actual &amp; PO  Analysis 2020'!$A$4:$BV$300,74,0),"")</f>
        <v/>
      </c>
      <c r="L21" s="24" t="str">
        <f>IFERROR(VLOOKUP($H21,'[1]Actual &amp; PO  Analysis 2020'!$A$4:$CB$300,80,0),"")</f>
        <v/>
      </c>
      <c r="M21" s="24" t="str">
        <f>IFERROR(VLOOKUP($H21,'[1]Actual &amp; PO  Analysis 2020'!$A$4:$CH$300,86,0),"")</f>
        <v/>
      </c>
      <c r="N21" s="25">
        <v>0</v>
      </c>
    </row>
    <row r="22" spans="1:14" x14ac:dyDescent="0.25">
      <c r="A22" s="11" t="s">
        <v>122</v>
      </c>
      <c r="B22" s="17">
        <v>1.48</v>
      </c>
      <c r="C22" s="17">
        <v>0.44</v>
      </c>
      <c r="D22" s="17">
        <v>2.04</v>
      </c>
      <c r="E22" s="17">
        <v>0.1</v>
      </c>
      <c r="F22" s="17">
        <v>0.82</v>
      </c>
      <c r="G22" s="22">
        <f t="shared" si="0"/>
        <v>4.88</v>
      </c>
      <c r="H22" s="11" t="s">
        <v>38</v>
      </c>
      <c r="I22" s="24" t="str">
        <f>IFERROR(VLOOKUP($H22,'[1]Actual &amp; PO  Analysis 2020'!$A$4:$BJ$300,62,0),"")</f>
        <v/>
      </c>
      <c r="J22" s="24" t="str">
        <f>IFERROR(VLOOKUP($H22,'[1]Actual &amp; PO  Analysis 2020'!$A$4:$BP$300,68,0),"")</f>
        <v/>
      </c>
      <c r="K22" s="24" t="str">
        <f>IFERROR(VLOOKUP($H22,'[1]Actual &amp; PO  Analysis 2020'!$A$4:$BV$300,74,0),"")</f>
        <v/>
      </c>
      <c r="L22" s="24" t="str">
        <f>IFERROR(VLOOKUP($H22,'[1]Actual &amp; PO  Analysis 2020'!$A$4:$CB$300,80,0),"")</f>
        <v/>
      </c>
      <c r="M22" s="24" t="str">
        <f>IFERROR(VLOOKUP($H22,'[1]Actual &amp; PO  Analysis 2020'!$A$4:$CH$300,86,0),"")</f>
        <v/>
      </c>
      <c r="N22" s="25">
        <v>0</v>
      </c>
    </row>
    <row r="23" spans="1:14" x14ac:dyDescent="0.25">
      <c r="A23" s="11" t="s">
        <v>121</v>
      </c>
      <c r="B23" s="17">
        <v>1.37</v>
      </c>
      <c r="C23" s="17">
        <v>0.4</v>
      </c>
      <c r="D23" s="17">
        <v>1.98</v>
      </c>
      <c r="E23" s="17">
        <v>0.1</v>
      </c>
      <c r="F23" s="17">
        <v>0.75</v>
      </c>
      <c r="G23" s="22">
        <f t="shared" si="0"/>
        <v>4.5999999999999996</v>
      </c>
      <c r="H23" s="11" t="s">
        <v>171</v>
      </c>
      <c r="I23" s="24">
        <f>IFERROR(VLOOKUP($H23,'[1]Actual &amp; PO  Analysis 2020'!$A$4:$BJ$300,62,0),"")</f>
        <v>1.1180000000000001</v>
      </c>
      <c r="J23" s="24">
        <f>IFERROR(VLOOKUP($H23,'[1]Actual &amp; PO  Analysis 2020'!$A$4:$BP$300,68,0),"")</f>
        <v>0.58950000000000002</v>
      </c>
      <c r="K23" s="24">
        <f>IFERROR(VLOOKUP($H23,'[1]Actual &amp; PO  Analysis 2020'!$A$4:$BV$300,74,0),"")</f>
        <v>3.7095000000000002</v>
      </c>
      <c r="L23" s="24">
        <f>IFERROR(VLOOKUP($H23,'[1]Actual &amp; PO  Analysis 2020'!$A$4:$CB$300,80,0),"")</f>
        <v>0.155</v>
      </c>
      <c r="M23" s="24">
        <f>IFERROR(VLOOKUP($H23,'[1]Actual &amp; PO  Analysis 2020'!$A$4:$CH$300,86,0),"")</f>
        <v>1.7554999999999998</v>
      </c>
      <c r="N23" s="25">
        <v>7.3274999999999997</v>
      </c>
    </row>
    <row r="24" spans="1:14" x14ac:dyDescent="0.25">
      <c r="A24" s="11" t="s">
        <v>227</v>
      </c>
      <c r="B24" s="17">
        <v>0</v>
      </c>
      <c r="C24" s="17">
        <v>1.5</v>
      </c>
      <c r="D24" s="17">
        <v>2.2800000000000002</v>
      </c>
      <c r="E24" s="17">
        <v>0.1</v>
      </c>
      <c r="F24" s="17">
        <v>0.68</v>
      </c>
      <c r="G24" s="22">
        <f t="shared" si="0"/>
        <v>4.5600000000000005</v>
      </c>
      <c r="H24" s="11" t="s">
        <v>42</v>
      </c>
      <c r="I24" s="24" t="str">
        <f>IFERROR(VLOOKUP($H24,'[1]Actual &amp; PO  Analysis 2020'!$A$4:$BJ$300,62,0),"")</f>
        <v/>
      </c>
      <c r="J24" s="24" t="str">
        <f>IFERROR(VLOOKUP($H24,'[1]Actual &amp; PO  Analysis 2020'!$A$4:$BP$300,68,0),"")</f>
        <v/>
      </c>
      <c r="K24" s="24" t="str">
        <f>IFERROR(VLOOKUP($H24,'[1]Actual &amp; PO  Analysis 2020'!$A$4:$BV$300,74,0),"")</f>
        <v/>
      </c>
      <c r="L24" s="24" t="str">
        <f>IFERROR(VLOOKUP($H24,'[1]Actual &amp; PO  Analysis 2020'!$A$4:$CB$300,80,0),"")</f>
        <v/>
      </c>
      <c r="M24" s="24" t="str">
        <f>IFERROR(VLOOKUP($H24,'[1]Actual &amp; PO  Analysis 2020'!$A$4:$CH$300,86,0),"")</f>
        <v/>
      </c>
      <c r="N24" s="25">
        <v>0</v>
      </c>
    </row>
    <row r="25" spans="1:14" x14ac:dyDescent="0.25">
      <c r="A25" s="11" t="s">
        <v>115</v>
      </c>
      <c r="B25" s="17">
        <v>0.68</v>
      </c>
      <c r="C25" s="17">
        <v>0.36</v>
      </c>
      <c r="D25" s="17">
        <v>1.76</v>
      </c>
      <c r="E25" s="17">
        <v>0.1</v>
      </c>
      <c r="F25" s="17">
        <v>0.74</v>
      </c>
      <c r="G25" s="22">
        <f t="shared" si="0"/>
        <v>3.6399999999999997</v>
      </c>
      <c r="H25" s="11" t="s">
        <v>43</v>
      </c>
      <c r="I25" s="24" t="str">
        <f>IFERROR(VLOOKUP($H25,'[1]Actual &amp; PO  Analysis 2020'!$A$4:$BJ$300,62,0),"")</f>
        <v/>
      </c>
      <c r="J25" s="24" t="str">
        <f>IFERROR(VLOOKUP($H25,'[1]Actual &amp; PO  Analysis 2020'!$A$4:$BP$300,68,0),"")</f>
        <v/>
      </c>
      <c r="K25" s="24" t="str">
        <f>IFERROR(VLOOKUP($H25,'[1]Actual &amp; PO  Analysis 2020'!$A$4:$BV$300,74,0),"")</f>
        <v/>
      </c>
      <c r="L25" s="24" t="str">
        <f>IFERROR(VLOOKUP($H25,'[1]Actual &amp; PO  Analysis 2020'!$A$4:$CB$300,80,0),"")</f>
        <v/>
      </c>
      <c r="M25" s="24" t="str">
        <f>IFERROR(VLOOKUP($H25,'[1]Actual &amp; PO  Analysis 2020'!$A$4:$CH$300,86,0),"")</f>
        <v/>
      </c>
      <c r="N25" s="25">
        <v>0</v>
      </c>
    </row>
    <row r="26" spans="1:14" x14ac:dyDescent="0.25">
      <c r="A26" s="11" t="s">
        <v>104</v>
      </c>
      <c r="B26" s="17">
        <v>0.47</v>
      </c>
      <c r="C26" s="17">
        <v>0.6</v>
      </c>
      <c r="D26" s="17">
        <v>1.8900000000000001</v>
      </c>
      <c r="E26" s="17">
        <v>0.1</v>
      </c>
      <c r="F26" s="17">
        <v>0.68</v>
      </c>
      <c r="G26" s="22">
        <f t="shared" si="0"/>
        <v>3.74</v>
      </c>
      <c r="H26" s="11" t="s">
        <v>122</v>
      </c>
      <c r="I26" s="24" t="str">
        <f>IFERROR(VLOOKUP($H26,'[1]Actual &amp; PO  Analysis 2020'!$A$4:$BJ$300,62,0),"")</f>
        <v/>
      </c>
      <c r="J26" s="24" t="str">
        <f>IFERROR(VLOOKUP($H26,'[1]Actual &amp; PO  Analysis 2020'!$A$4:$BP$300,68,0),"")</f>
        <v/>
      </c>
      <c r="K26" s="24" t="str">
        <f>IFERROR(VLOOKUP($H26,'[1]Actual &amp; PO  Analysis 2020'!$A$4:$BV$300,74,0),"")</f>
        <v/>
      </c>
      <c r="L26" s="24" t="str">
        <f>IFERROR(VLOOKUP($H26,'[1]Actual &amp; PO  Analysis 2020'!$A$4:$CB$300,80,0),"")</f>
        <v/>
      </c>
      <c r="M26" s="24" t="str">
        <f>IFERROR(VLOOKUP($H26,'[1]Actual &amp; PO  Analysis 2020'!$A$4:$CH$300,86,0),"")</f>
        <v/>
      </c>
      <c r="N26" s="25">
        <v>0</v>
      </c>
    </row>
    <row r="27" spans="1:14" x14ac:dyDescent="0.25">
      <c r="A27" s="11" t="s">
        <v>112</v>
      </c>
      <c r="B27" s="17">
        <v>0</v>
      </c>
      <c r="C27" s="17">
        <v>0.94</v>
      </c>
      <c r="D27" s="17">
        <v>1.8199999999999998</v>
      </c>
      <c r="E27" s="17">
        <v>0.1</v>
      </c>
      <c r="F27" s="17">
        <v>0.74</v>
      </c>
      <c r="G27" s="22">
        <f t="shared" si="0"/>
        <v>3.5999999999999996</v>
      </c>
      <c r="H27" s="11" t="s">
        <v>121</v>
      </c>
      <c r="I27" s="24" t="str">
        <f>IFERROR(VLOOKUP($H27,'[1]Actual &amp; PO  Analysis 2020'!$A$4:$BJ$300,62,0),"")</f>
        <v/>
      </c>
      <c r="J27" s="24" t="str">
        <f>IFERROR(VLOOKUP($H27,'[1]Actual &amp; PO  Analysis 2020'!$A$4:$BP$300,68,0),"")</f>
        <v/>
      </c>
      <c r="K27" s="24" t="str">
        <f>IFERROR(VLOOKUP($H27,'[1]Actual &amp; PO  Analysis 2020'!$A$4:$BV$300,74,0),"")</f>
        <v/>
      </c>
      <c r="L27" s="24" t="str">
        <f>IFERROR(VLOOKUP($H27,'[1]Actual &amp; PO  Analysis 2020'!$A$4:$CB$300,80,0),"")</f>
        <v/>
      </c>
      <c r="M27" s="24" t="str">
        <f>IFERROR(VLOOKUP($H27,'[1]Actual &amp; PO  Analysis 2020'!$A$4:$CH$300,86,0),"")</f>
        <v/>
      </c>
      <c r="N27" s="25">
        <v>0</v>
      </c>
    </row>
    <row r="28" spans="1:14" x14ac:dyDescent="0.25">
      <c r="A28" s="11" t="s">
        <v>170</v>
      </c>
      <c r="B28" s="17">
        <v>0</v>
      </c>
      <c r="C28" s="17">
        <v>1.0349999999999999</v>
      </c>
      <c r="D28" s="17">
        <v>2.004</v>
      </c>
      <c r="E28" s="17">
        <v>0.11</v>
      </c>
      <c r="F28" s="17">
        <v>0.81499999999999995</v>
      </c>
      <c r="G28" s="22">
        <f t="shared" si="0"/>
        <v>3.9639999999999995</v>
      </c>
      <c r="H28" s="11" t="s">
        <v>227</v>
      </c>
      <c r="I28" s="24" t="str">
        <f>IFERROR(VLOOKUP($H28,'[1]Actual &amp; PO  Analysis 2020'!$A$4:$BJ$300,62,0),"")</f>
        <v/>
      </c>
      <c r="J28" s="24" t="str">
        <f>IFERROR(VLOOKUP($H28,'[1]Actual &amp; PO  Analysis 2020'!$A$4:$BP$300,68,0),"")</f>
        <v/>
      </c>
      <c r="K28" s="24" t="str">
        <f>IFERROR(VLOOKUP($H28,'[1]Actual &amp; PO  Analysis 2020'!$A$4:$BV$300,74,0),"")</f>
        <v/>
      </c>
      <c r="L28" s="24" t="str">
        <f>IFERROR(VLOOKUP($H28,'[1]Actual &amp; PO  Analysis 2020'!$A$4:$CB$300,80,0),"")</f>
        <v/>
      </c>
      <c r="M28" s="24" t="str">
        <f>IFERROR(VLOOKUP($H28,'[1]Actual &amp; PO  Analysis 2020'!$A$4:$CH$300,86,0),"")</f>
        <v/>
      </c>
      <c r="N28" s="25">
        <v>0</v>
      </c>
    </row>
    <row r="29" spans="1:14" x14ac:dyDescent="0.25">
      <c r="A29" s="11" t="s">
        <v>176</v>
      </c>
      <c r="B29" s="17">
        <v>0</v>
      </c>
      <c r="C29" s="17">
        <v>0.9</v>
      </c>
      <c r="D29" s="17">
        <v>1.83</v>
      </c>
      <c r="E29" s="17">
        <v>0.1</v>
      </c>
      <c r="F29" s="17">
        <v>0.74</v>
      </c>
      <c r="G29" s="22">
        <f t="shared" si="0"/>
        <v>3.5700000000000003</v>
      </c>
      <c r="H29" s="11" t="s">
        <v>115</v>
      </c>
      <c r="I29" s="24" t="str">
        <f>IFERROR(VLOOKUP($H29,'[1]Actual &amp; PO  Analysis 2020'!$A$4:$BJ$300,62,0),"")</f>
        <v/>
      </c>
      <c r="J29" s="24" t="str">
        <f>IFERROR(VLOOKUP($H29,'[1]Actual &amp; PO  Analysis 2020'!$A$4:$BP$300,68,0),"")</f>
        <v/>
      </c>
      <c r="K29" s="24" t="str">
        <f>IFERROR(VLOOKUP($H29,'[1]Actual &amp; PO  Analysis 2020'!$A$4:$BV$300,74,0),"")</f>
        <v/>
      </c>
      <c r="L29" s="24" t="str">
        <f>IFERROR(VLOOKUP($H29,'[1]Actual &amp; PO  Analysis 2020'!$A$4:$CB$300,80,0),"")</f>
        <v/>
      </c>
      <c r="M29" s="24" t="str">
        <f>IFERROR(VLOOKUP($H29,'[1]Actual &amp; PO  Analysis 2020'!$A$4:$CH$300,86,0),"")</f>
        <v/>
      </c>
      <c r="N29" s="25">
        <v>0</v>
      </c>
    </row>
    <row r="30" spans="1:14" x14ac:dyDescent="0.25">
      <c r="A30" s="11" t="s">
        <v>132</v>
      </c>
      <c r="B30" s="17">
        <v>1.5</v>
      </c>
      <c r="C30" s="17">
        <v>0.4</v>
      </c>
      <c r="D30" s="17">
        <v>2.04</v>
      </c>
      <c r="E30" s="17">
        <v>0.1</v>
      </c>
      <c r="F30" s="17">
        <v>0.75</v>
      </c>
      <c r="G30" s="22">
        <f t="shared" si="0"/>
        <v>4.79</v>
      </c>
      <c r="H30" s="11" t="s">
        <v>104</v>
      </c>
      <c r="I30" s="24" t="str">
        <f>IFERROR(VLOOKUP($H30,'[1]Actual &amp; PO  Analysis 2020'!$A$4:$BJ$300,62,0),"")</f>
        <v/>
      </c>
      <c r="J30" s="24" t="str">
        <f>IFERROR(VLOOKUP($H30,'[1]Actual &amp; PO  Analysis 2020'!$A$4:$BP$300,68,0),"")</f>
        <v/>
      </c>
      <c r="K30" s="24" t="str">
        <f>IFERROR(VLOOKUP($H30,'[1]Actual &amp; PO  Analysis 2020'!$A$4:$BV$300,74,0),"")</f>
        <v/>
      </c>
      <c r="L30" s="24" t="str">
        <f>IFERROR(VLOOKUP($H30,'[1]Actual &amp; PO  Analysis 2020'!$A$4:$CB$300,80,0),"")</f>
        <v/>
      </c>
      <c r="M30" s="24" t="str">
        <f>IFERROR(VLOOKUP($H30,'[1]Actual &amp; PO  Analysis 2020'!$A$4:$CH$300,86,0),"")</f>
        <v/>
      </c>
      <c r="N30" s="25">
        <v>0</v>
      </c>
    </row>
    <row r="31" spans="1:14" x14ac:dyDescent="0.25">
      <c r="A31" s="11" t="s">
        <v>155</v>
      </c>
      <c r="B31" s="17">
        <v>0</v>
      </c>
      <c r="C31" s="17">
        <v>3.6</v>
      </c>
      <c r="D31" s="17">
        <v>4.0199999999999996</v>
      </c>
      <c r="E31" s="17">
        <v>0.1</v>
      </c>
      <c r="F31" s="17">
        <v>0.86</v>
      </c>
      <c r="G31" s="22">
        <f t="shared" si="0"/>
        <v>8.5799999999999983</v>
      </c>
      <c r="H31" s="11" t="s">
        <v>112</v>
      </c>
      <c r="I31" s="24" t="str">
        <f>IFERROR(VLOOKUP($H31,'[1]Actual &amp; PO  Analysis 2020'!$A$4:$BJ$300,62,0),"")</f>
        <v/>
      </c>
      <c r="J31" s="24" t="str">
        <f>IFERROR(VLOOKUP($H31,'[1]Actual &amp; PO  Analysis 2020'!$A$4:$BP$300,68,0),"")</f>
        <v/>
      </c>
      <c r="K31" s="24" t="str">
        <f>IFERROR(VLOOKUP($H31,'[1]Actual &amp; PO  Analysis 2020'!$A$4:$BV$300,74,0),"")</f>
        <v/>
      </c>
      <c r="L31" s="24" t="str">
        <f>IFERROR(VLOOKUP($H31,'[1]Actual &amp; PO  Analysis 2020'!$A$4:$CB$300,80,0),"")</f>
        <v/>
      </c>
      <c r="M31" s="24" t="str">
        <f>IFERROR(VLOOKUP($H31,'[1]Actual &amp; PO  Analysis 2020'!$A$4:$CH$300,86,0),"")</f>
        <v/>
      </c>
      <c r="N31" s="25">
        <v>0</v>
      </c>
    </row>
    <row r="32" spans="1:14" x14ac:dyDescent="0.25">
      <c r="A32" s="11" t="s">
        <v>207</v>
      </c>
      <c r="B32" s="17">
        <v>0</v>
      </c>
      <c r="C32" s="17">
        <v>1.39</v>
      </c>
      <c r="D32" s="17">
        <v>3.79</v>
      </c>
      <c r="E32" s="17">
        <v>0.1</v>
      </c>
      <c r="F32" s="17">
        <v>0.81</v>
      </c>
      <c r="G32" s="22">
        <f t="shared" si="0"/>
        <v>6.09</v>
      </c>
      <c r="H32" s="11" t="s">
        <v>170</v>
      </c>
      <c r="I32" s="24">
        <f>IFERROR(VLOOKUP($H32,'[1]Actual &amp; PO  Analysis 2020'!$A$4:$BJ$300,62,0),"")</f>
        <v>0.57850000000000001</v>
      </c>
      <c r="J32" s="24">
        <f>IFERROR(VLOOKUP($H32,'[1]Actual &amp; PO  Analysis 2020'!$A$4:$BP$300,68,0),"")</f>
        <v>0.43559999999999999</v>
      </c>
      <c r="K32" s="24">
        <f>IFERROR(VLOOKUP($H32,'[1]Actual &amp; PO  Analysis 2020'!$A$4:$BV$300,74,0),"")</f>
        <v>3.1013999999999995</v>
      </c>
      <c r="L32" s="24">
        <f>IFERROR(VLOOKUP($H32,'[1]Actual &amp; PO  Analysis 2020'!$A$4:$CB$300,80,0),"")</f>
        <v>0.17360000000000003</v>
      </c>
      <c r="M32" s="24">
        <f>IFERROR(VLOOKUP($H32,'[1]Actual &amp; PO  Analysis 2020'!$A$4:$CH$300,86,0),"")</f>
        <v>1.1478333333333335</v>
      </c>
      <c r="N32" s="25">
        <v>5.3854999999999995</v>
      </c>
    </row>
    <row r="33" spans="1:14" x14ac:dyDescent="0.25">
      <c r="A33" s="11" t="s">
        <v>157</v>
      </c>
      <c r="B33" s="17">
        <v>0</v>
      </c>
      <c r="C33" s="17">
        <v>3.1680000000000001</v>
      </c>
      <c r="D33" s="17">
        <v>0.99299999999999999</v>
      </c>
      <c r="E33" s="17">
        <v>0</v>
      </c>
      <c r="F33" s="17">
        <v>0.83899999999999997</v>
      </c>
      <c r="G33" s="22">
        <f t="shared" si="0"/>
        <v>5</v>
      </c>
      <c r="H33" s="11" t="s">
        <v>176</v>
      </c>
      <c r="I33" s="24" t="str">
        <f>IFERROR(VLOOKUP($H33,'[1]Actual &amp; PO  Analysis 2020'!$A$4:$BJ$300,62,0),"")</f>
        <v/>
      </c>
      <c r="J33" s="24" t="str">
        <f>IFERROR(VLOOKUP($H33,'[1]Actual &amp; PO  Analysis 2020'!$A$4:$BP$300,68,0),"")</f>
        <v/>
      </c>
      <c r="K33" s="24" t="str">
        <f>IFERROR(VLOOKUP($H33,'[1]Actual &amp; PO  Analysis 2020'!$A$4:$BV$300,74,0),"")</f>
        <v/>
      </c>
      <c r="L33" s="24" t="str">
        <f>IFERROR(VLOOKUP($H33,'[1]Actual &amp; PO  Analysis 2020'!$A$4:$CB$300,80,0),"")</f>
        <v/>
      </c>
      <c r="M33" s="24" t="str">
        <f>IFERROR(VLOOKUP($H33,'[1]Actual &amp; PO  Analysis 2020'!$A$4:$CH$300,86,0),"")</f>
        <v/>
      </c>
      <c r="N33" s="25">
        <v>0</v>
      </c>
    </row>
    <row r="34" spans="1:14" x14ac:dyDescent="0.25">
      <c r="A34" s="11" t="s">
        <v>257</v>
      </c>
      <c r="B34" s="17">
        <v>0</v>
      </c>
      <c r="C34" s="17">
        <v>0</v>
      </c>
      <c r="D34" s="17">
        <v>0</v>
      </c>
      <c r="E34" s="17">
        <v>0</v>
      </c>
      <c r="F34" s="17">
        <v>0</v>
      </c>
      <c r="G34" s="22">
        <f t="shared" si="0"/>
        <v>0</v>
      </c>
      <c r="H34" s="11" t="s">
        <v>132</v>
      </c>
      <c r="I34" s="24" t="str">
        <f>IFERROR(VLOOKUP($H34,'[1]Actual &amp; PO  Analysis 2020'!$A$4:$BJ$300,62,0),"")</f>
        <v/>
      </c>
      <c r="J34" s="24" t="str">
        <f>IFERROR(VLOOKUP($H34,'[1]Actual &amp; PO  Analysis 2020'!$A$4:$BP$300,68,0),"")</f>
        <v/>
      </c>
      <c r="K34" s="24" t="str">
        <f>IFERROR(VLOOKUP($H34,'[1]Actual &amp; PO  Analysis 2020'!$A$4:$BV$300,74,0),"")</f>
        <v/>
      </c>
      <c r="L34" s="24" t="str">
        <f>IFERROR(VLOOKUP($H34,'[1]Actual &amp; PO  Analysis 2020'!$A$4:$CB$300,80,0),"")</f>
        <v/>
      </c>
      <c r="M34" s="24" t="str">
        <f>IFERROR(VLOOKUP($H34,'[1]Actual &amp; PO  Analysis 2020'!$A$4:$CH$300,86,0),"")</f>
        <v/>
      </c>
      <c r="N34" s="25">
        <v>0</v>
      </c>
    </row>
    <row r="35" spans="1:14" x14ac:dyDescent="0.25">
      <c r="A35" s="11" t="s">
        <v>258</v>
      </c>
      <c r="B35" s="17">
        <v>0</v>
      </c>
      <c r="C35" s="17">
        <v>0</v>
      </c>
      <c r="D35" s="17">
        <v>0</v>
      </c>
      <c r="E35" s="17">
        <v>0</v>
      </c>
      <c r="F35" s="17">
        <v>0</v>
      </c>
      <c r="G35" s="22">
        <f t="shared" si="0"/>
        <v>0</v>
      </c>
      <c r="H35" s="11" t="s">
        <v>155</v>
      </c>
      <c r="I35" s="24" t="str">
        <f>IFERROR(VLOOKUP($H35,'[1]Actual &amp; PO  Analysis 2020'!$A$4:$BJ$300,62,0),"")</f>
        <v/>
      </c>
      <c r="J35" s="24" t="str">
        <f>IFERROR(VLOOKUP($H35,'[1]Actual &amp; PO  Analysis 2020'!$A$4:$BP$300,68,0),"")</f>
        <v/>
      </c>
      <c r="K35" s="24" t="str">
        <f>IFERROR(VLOOKUP($H35,'[1]Actual &amp; PO  Analysis 2020'!$A$4:$BV$300,74,0),"")</f>
        <v/>
      </c>
      <c r="L35" s="24" t="str">
        <f>IFERROR(VLOOKUP($H35,'[1]Actual &amp; PO  Analysis 2020'!$A$4:$CB$300,80,0),"")</f>
        <v/>
      </c>
      <c r="M35" s="24" t="str">
        <f>IFERROR(VLOOKUP($H35,'[1]Actual &amp; PO  Analysis 2020'!$A$4:$CH$300,86,0),"")</f>
        <v/>
      </c>
      <c r="N35" s="25">
        <v>0</v>
      </c>
    </row>
    <row r="36" spans="1:14" x14ac:dyDescent="0.25">
      <c r="A36" s="11" t="s">
        <v>391</v>
      </c>
      <c r="B36" s="17">
        <v>0</v>
      </c>
      <c r="C36" s="17">
        <v>2.202</v>
      </c>
      <c r="D36" s="17">
        <v>3.5209999999999999</v>
      </c>
      <c r="E36" s="17">
        <v>0.1</v>
      </c>
      <c r="F36" s="17">
        <v>1.1819999999999999</v>
      </c>
      <c r="G36" s="22">
        <f t="shared" si="0"/>
        <v>7.004999999999999</v>
      </c>
      <c r="H36" s="11" t="s">
        <v>207</v>
      </c>
      <c r="I36" s="24" t="str">
        <f>IFERROR(VLOOKUP($H36,'[1]Actual &amp; PO  Analysis 2020'!$A$4:$BJ$300,62,0),"")</f>
        <v/>
      </c>
      <c r="J36" s="24" t="str">
        <f>IFERROR(VLOOKUP($H36,'[1]Actual &amp; PO  Analysis 2020'!$A$4:$BP$300,68,0),"")</f>
        <v/>
      </c>
      <c r="K36" s="24" t="str">
        <f>IFERROR(VLOOKUP($H36,'[1]Actual &amp; PO  Analysis 2020'!$A$4:$BV$300,74,0),"")</f>
        <v/>
      </c>
      <c r="L36" s="24" t="str">
        <f>IFERROR(VLOOKUP($H36,'[1]Actual &amp; PO  Analysis 2020'!$A$4:$CB$300,80,0),"")</f>
        <v/>
      </c>
      <c r="M36" s="24" t="str">
        <f>IFERROR(VLOOKUP($H36,'[1]Actual &amp; PO  Analysis 2020'!$A$4:$CH$300,86,0),"")</f>
        <v/>
      </c>
      <c r="N36" s="25">
        <v>0</v>
      </c>
    </row>
    <row r="37" spans="1:14" x14ac:dyDescent="0.25">
      <c r="A37" s="11" t="s">
        <v>301</v>
      </c>
      <c r="B37" s="17">
        <v>0</v>
      </c>
      <c r="C37" s="17">
        <v>0</v>
      </c>
      <c r="D37" s="17">
        <v>0</v>
      </c>
      <c r="E37" s="17">
        <v>0</v>
      </c>
      <c r="F37" s="17">
        <v>0</v>
      </c>
      <c r="G37" s="22">
        <f t="shared" si="0"/>
        <v>0</v>
      </c>
      <c r="H37" s="11" t="s">
        <v>157</v>
      </c>
      <c r="I37" s="24" t="str">
        <f>IFERROR(VLOOKUP($H37,'[1]Actual &amp; PO  Analysis 2020'!$A$4:$BJ$300,62,0),"")</f>
        <v/>
      </c>
      <c r="J37" s="24" t="str">
        <f>IFERROR(VLOOKUP($H37,'[1]Actual &amp; PO  Analysis 2020'!$A$4:$BP$300,68,0),"")</f>
        <v/>
      </c>
      <c r="K37" s="24" t="str">
        <f>IFERROR(VLOOKUP($H37,'[1]Actual &amp; PO  Analysis 2020'!$A$4:$BV$300,74,0),"")</f>
        <v/>
      </c>
      <c r="L37" s="24" t="str">
        <f>IFERROR(VLOOKUP($H37,'[1]Actual &amp; PO  Analysis 2020'!$A$4:$CB$300,80,0),"")</f>
        <v/>
      </c>
      <c r="M37" s="24" t="str">
        <f>IFERROR(VLOOKUP($H37,'[1]Actual &amp; PO  Analysis 2020'!$A$4:$CH$300,86,0),"")</f>
        <v/>
      </c>
      <c r="N37" s="25">
        <v>0</v>
      </c>
    </row>
    <row r="38" spans="1:14" x14ac:dyDescent="0.25">
      <c r="A38" s="11" t="s">
        <v>260</v>
      </c>
      <c r="B38" s="17">
        <v>0</v>
      </c>
      <c r="C38" s="17">
        <v>0</v>
      </c>
      <c r="D38" s="17">
        <v>0</v>
      </c>
      <c r="E38" s="17">
        <v>0</v>
      </c>
      <c r="F38" s="17">
        <v>0</v>
      </c>
      <c r="G38" s="22">
        <f t="shared" si="0"/>
        <v>0</v>
      </c>
      <c r="H38" s="11" t="s">
        <v>257</v>
      </c>
      <c r="I38" s="24" t="str">
        <f>IFERROR(VLOOKUP($H38,'[1]Actual &amp; PO  Analysis 2020'!$A$4:$BJ$300,62,0),"")</f>
        <v/>
      </c>
      <c r="J38" s="24" t="str">
        <f>IFERROR(VLOOKUP($H38,'[1]Actual &amp; PO  Analysis 2020'!$A$4:$BP$300,68,0),"")</f>
        <v/>
      </c>
      <c r="K38" s="24" t="str">
        <f>IFERROR(VLOOKUP($H38,'[1]Actual &amp; PO  Analysis 2020'!$A$4:$BV$300,74,0),"")</f>
        <v/>
      </c>
      <c r="L38" s="24" t="str">
        <f>IFERROR(VLOOKUP($H38,'[1]Actual &amp; PO  Analysis 2020'!$A$4:$CB$300,80,0),"")</f>
        <v/>
      </c>
      <c r="M38" s="24" t="str">
        <f>IFERROR(VLOOKUP($H38,'[1]Actual &amp; PO  Analysis 2020'!$A$4:$CH$300,86,0),"")</f>
        <v/>
      </c>
      <c r="N38" s="25">
        <v>0</v>
      </c>
    </row>
    <row r="39" spans="1:14" x14ac:dyDescent="0.25">
      <c r="A39" s="11" t="s">
        <v>102</v>
      </c>
      <c r="B39" s="17">
        <v>0</v>
      </c>
      <c r="C39" s="17">
        <v>1.7170000000000001</v>
      </c>
      <c r="D39" s="17">
        <v>2.7389999999999999</v>
      </c>
      <c r="E39" s="17">
        <v>0.13600000000000001</v>
      </c>
      <c r="F39" s="17">
        <v>1.008</v>
      </c>
      <c r="G39" s="22">
        <f t="shared" si="0"/>
        <v>5.6</v>
      </c>
      <c r="H39" s="11" t="s">
        <v>258</v>
      </c>
      <c r="I39" s="24" t="str">
        <f>IFERROR(VLOOKUP($H39,'[1]Actual &amp; PO  Analysis 2020'!$A$4:$BJ$300,62,0),"")</f>
        <v/>
      </c>
      <c r="J39" s="24" t="str">
        <f>IFERROR(VLOOKUP($H39,'[1]Actual &amp; PO  Analysis 2020'!$A$4:$BP$300,68,0),"")</f>
        <v/>
      </c>
      <c r="K39" s="24" t="str">
        <f>IFERROR(VLOOKUP($H39,'[1]Actual &amp; PO  Analysis 2020'!$A$4:$BV$300,74,0),"")</f>
        <v/>
      </c>
      <c r="L39" s="24" t="str">
        <f>IFERROR(VLOOKUP($H39,'[1]Actual &amp; PO  Analysis 2020'!$A$4:$CB$300,80,0),"")</f>
        <v/>
      </c>
      <c r="M39" s="24" t="str">
        <f>IFERROR(VLOOKUP($H39,'[1]Actual &amp; PO  Analysis 2020'!$A$4:$CH$300,86,0),"")</f>
        <v/>
      </c>
      <c r="N39" s="25">
        <v>0</v>
      </c>
    </row>
    <row r="40" spans="1:14" x14ac:dyDescent="0.25">
      <c r="A40" s="11" t="s">
        <v>427</v>
      </c>
      <c r="B40" s="17">
        <v>0</v>
      </c>
      <c r="C40" s="17">
        <v>2.91</v>
      </c>
      <c r="D40" s="17">
        <v>4.29</v>
      </c>
      <c r="E40" s="17">
        <v>0.1</v>
      </c>
      <c r="F40" s="17">
        <v>0.81</v>
      </c>
      <c r="G40" s="22">
        <f t="shared" si="0"/>
        <v>8.11</v>
      </c>
      <c r="H40" s="11" t="s">
        <v>391</v>
      </c>
      <c r="I40" s="24" t="str">
        <f>IFERROR(VLOOKUP($H40,'[1]Actual &amp; PO  Analysis 2020'!$A$4:$BJ$300,62,0),"")</f>
        <v/>
      </c>
      <c r="J40" s="24" t="str">
        <f>IFERROR(VLOOKUP($H40,'[1]Actual &amp; PO  Analysis 2020'!$A$4:$BP$300,68,0),"")</f>
        <v/>
      </c>
      <c r="K40" s="24" t="str">
        <f>IFERROR(VLOOKUP($H40,'[1]Actual &amp; PO  Analysis 2020'!$A$4:$BV$300,74,0),"")</f>
        <v/>
      </c>
      <c r="L40" s="24" t="str">
        <f>IFERROR(VLOOKUP($H40,'[1]Actual &amp; PO  Analysis 2020'!$A$4:$CB$300,80,0),"")</f>
        <v/>
      </c>
      <c r="M40" s="24" t="str">
        <f>IFERROR(VLOOKUP($H40,'[1]Actual &amp; PO  Analysis 2020'!$A$4:$CH$300,86,0),"")</f>
        <v/>
      </c>
      <c r="N40" s="25">
        <v>0</v>
      </c>
    </row>
    <row r="41" spans="1:14" x14ac:dyDescent="0.25">
      <c r="A41" s="11" t="s">
        <v>369</v>
      </c>
      <c r="B41" s="17">
        <v>0</v>
      </c>
      <c r="C41" s="17">
        <v>0.72399999999999998</v>
      </c>
      <c r="D41" s="17">
        <v>1.2170000000000001</v>
      </c>
      <c r="E41" s="17">
        <v>3.2000000000000001E-2</v>
      </c>
      <c r="F41" s="17">
        <v>0.27700000000000002</v>
      </c>
      <c r="G41" s="22">
        <f t="shared" si="0"/>
        <v>2.25</v>
      </c>
      <c r="H41" s="11" t="s">
        <v>301</v>
      </c>
      <c r="I41" s="24" t="str">
        <f>IFERROR(VLOOKUP($H41,'[1]Actual &amp; PO  Analysis 2020'!$A$4:$BJ$300,62,0),"")</f>
        <v/>
      </c>
      <c r="J41" s="24" t="str">
        <f>IFERROR(VLOOKUP($H41,'[1]Actual &amp; PO  Analysis 2020'!$A$4:$BP$300,68,0),"")</f>
        <v/>
      </c>
      <c r="K41" s="24" t="str">
        <f>IFERROR(VLOOKUP($H41,'[1]Actual &amp; PO  Analysis 2020'!$A$4:$BV$300,74,0),"")</f>
        <v/>
      </c>
      <c r="L41" s="24" t="str">
        <f>IFERROR(VLOOKUP($H41,'[1]Actual &amp; PO  Analysis 2020'!$A$4:$CB$300,80,0),"")</f>
        <v/>
      </c>
      <c r="M41" s="24" t="str">
        <f>IFERROR(VLOOKUP($H41,'[1]Actual &amp; PO  Analysis 2020'!$A$4:$CH$300,86,0),"")</f>
        <v/>
      </c>
      <c r="N41" s="25">
        <v>0</v>
      </c>
    </row>
    <row r="42" spans="1:14" x14ac:dyDescent="0.25">
      <c r="A42" s="11" t="s">
        <v>110</v>
      </c>
      <c r="B42" s="17">
        <v>0</v>
      </c>
      <c r="C42" s="17">
        <v>1.6619999999999999</v>
      </c>
      <c r="D42" s="17">
        <v>3.1070000000000002</v>
      </c>
      <c r="E42" s="17">
        <v>0.13600000000000001</v>
      </c>
      <c r="F42" s="17">
        <v>0.92600000000000005</v>
      </c>
      <c r="G42" s="22">
        <f t="shared" si="0"/>
        <v>5.8310000000000004</v>
      </c>
      <c r="H42" s="11" t="s">
        <v>260</v>
      </c>
      <c r="I42" s="24" t="str">
        <f>IFERROR(VLOOKUP($H42,'[1]Actual &amp; PO  Analysis 2020'!$A$4:$BJ$300,62,0),"")</f>
        <v/>
      </c>
      <c r="J42" s="24" t="str">
        <f>IFERROR(VLOOKUP($H42,'[1]Actual &amp; PO  Analysis 2020'!$A$4:$BP$300,68,0),"")</f>
        <v/>
      </c>
      <c r="K42" s="24" t="str">
        <f>IFERROR(VLOOKUP($H42,'[1]Actual &amp; PO  Analysis 2020'!$A$4:$BV$300,74,0),"")</f>
        <v/>
      </c>
      <c r="L42" s="24" t="str">
        <f>IFERROR(VLOOKUP($H42,'[1]Actual &amp; PO  Analysis 2020'!$A$4:$CB$300,80,0),"")</f>
        <v/>
      </c>
      <c r="M42" s="24" t="str">
        <f>IFERROR(VLOOKUP($H42,'[1]Actual &amp; PO  Analysis 2020'!$A$4:$CH$300,86,0),"")</f>
        <v/>
      </c>
      <c r="N42" s="25">
        <v>0</v>
      </c>
    </row>
    <row r="43" spans="1:14" x14ac:dyDescent="0.25">
      <c r="A43" s="11" t="s">
        <v>421</v>
      </c>
      <c r="B43" s="17">
        <v>0</v>
      </c>
      <c r="C43" s="17">
        <v>5.64</v>
      </c>
      <c r="D43" s="17">
        <v>3.79</v>
      </c>
      <c r="E43" s="17">
        <v>0.1</v>
      </c>
      <c r="F43" s="17">
        <v>0.96</v>
      </c>
      <c r="G43" s="22">
        <f t="shared" si="0"/>
        <v>10.489999999999998</v>
      </c>
      <c r="H43" s="11" t="s">
        <v>102</v>
      </c>
      <c r="I43" s="24">
        <f>IFERROR(VLOOKUP($H43,'[1]Actual &amp; PO  Analysis 2020'!$A$4:$BJ$300,62,0),"")</f>
        <v>0.9</v>
      </c>
      <c r="J43" s="24">
        <f>IFERROR(VLOOKUP($H43,'[1]Actual &amp; PO  Analysis 2020'!$A$4:$BP$300,68,0),"")</f>
        <v>0.44083333333333335</v>
      </c>
      <c r="K43" s="24">
        <f>IFERROR(VLOOKUP($H43,'[1]Actual &amp; PO  Analysis 2020'!$A$4:$BV$300,74,0),"")</f>
        <v>2.4498333333333338</v>
      </c>
      <c r="L43" s="24">
        <f>IFERROR(VLOOKUP($H43,'[1]Actual &amp; PO  Analysis 2020'!$A$4:$CB$300,80,0),"")</f>
        <v>0.16766666666666666</v>
      </c>
      <c r="M43" s="24">
        <f>IFERROR(VLOOKUP($H43,'[1]Actual &amp; PO  Analysis 2020'!$A$4:$CH$300,86,0),"")</f>
        <v>1.0971666666666666</v>
      </c>
      <c r="N43" s="25">
        <v>4.8949999999999996</v>
      </c>
    </row>
    <row r="44" spans="1:14" x14ac:dyDescent="0.25">
      <c r="A44" s="11" t="s">
        <v>125</v>
      </c>
      <c r="B44" s="17">
        <v>1.6</v>
      </c>
      <c r="C44" s="17">
        <v>0.96</v>
      </c>
      <c r="D44" s="17">
        <v>6</v>
      </c>
      <c r="E44" s="17">
        <v>0.2</v>
      </c>
      <c r="F44" s="17">
        <v>1.44</v>
      </c>
      <c r="G44" s="22">
        <f t="shared" si="0"/>
        <v>10.199999999999999</v>
      </c>
      <c r="H44" s="11" t="s">
        <v>427</v>
      </c>
      <c r="I44" s="24" t="str">
        <f>IFERROR(VLOOKUP($H44,'[1]Actual &amp; PO  Analysis 2020'!$A$4:$BJ$300,62,0),"")</f>
        <v/>
      </c>
      <c r="J44" s="24" t="str">
        <f>IFERROR(VLOOKUP($H44,'[1]Actual &amp; PO  Analysis 2020'!$A$4:$BP$300,68,0),"")</f>
        <v/>
      </c>
      <c r="K44" s="24" t="str">
        <f>IFERROR(VLOOKUP($H44,'[1]Actual &amp; PO  Analysis 2020'!$A$4:$BV$300,74,0),"")</f>
        <v/>
      </c>
      <c r="L44" s="24" t="str">
        <f>IFERROR(VLOOKUP($H44,'[1]Actual &amp; PO  Analysis 2020'!$A$4:$CB$300,80,0),"")</f>
        <v/>
      </c>
      <c r="M44" s="24" t="str">
        <f>IFERROR(VLOOKUP($H44,'[1]Actual &amp; PO  Analysis 2020'!$A$4:$CH$300,86,0),"")</f>
        <v/>
      </c>
      <c r="N44" s="25">
        <v>0</v>
      </c>
    </row>
    <row r="45" spans="1:14" x14ac:dyDescent="0.25">
      <c r="A45" s="11" t="s">
        <v>413</v>
      </c>
      <c r="B45" s="17">
        <v>0</v>
      </c>
      <c r="C45" s="17">
        <v>2.29</v>
      </c>
      <c r="D45" s="17">
        <v>2.33</v>
      </c>
      <c r="E45" s="17">
        <v>0.1</v>
      </c>
      <c r="F45" s="17">
        <v>0.64</v>
      </c>
      <c r="G45" s="22">
        <f t="shared" si="0"/>
        <v>5.3599999999999994</v>
      </c>
      <c r="H45" s="11" t="s">
        <v>369</v>
      </c>
      <c r="I45" s="24" t="str">
        <f>IFERROR(VLOOKUP($H45,'[1]Actual &amp; PO  Analysis 2020'!$A$4:$BJ$300,62,0),"")</f>
        <v>0</v>
      </c>
      <c r="J45" s="24">
        <f>IFERROR(VLOOKUP($H45,'[1]Actual &amp; PO  Analysis 2020'!$A$4:$BP$300,68,0),"")</f>
        <v>1.048</v>
      </c>
      <c r="K45" s="24">
        <f>IFERROR(VLOOKUP($H45,'[1]Actual &amp; PO  Analysis 2020'!$A$4:$BV$300,74,0),"")</f>
        <v>4.048</v>
      </c>
      <c r="L45" s="24">
        <f>IFERROR(VLOOKUP($H45,'[1]Actual &amp; PO  Analysis 2020'!$A$4:$CB$300,80,0),"")</f>
        <v>0.17199999999999999</v>
      </c>
      <c r="M45" s="24">
        <f>IFERROR(VLOOKUP($H45,'[1]Actual &amp; PO  Analysis 2020'!$A$4:$CH$300,86,0),"")</f>
        <v>1.7430000000000001</v>
      </c>
      <c r="N45" s="25">
        <v>7.0110000000000001</v>
      </c>
    </row>
    <row r="46" spans="1:14" x14ac:dyDescent="0.25">
      <c r="A46" s="11" t="s">
        <v>378</v>
      </c>
      <c r="B46" s="17">
        <v>0</v>
      </c>
      <c r="C46" s="17">
        <v>0</v>
      </c>
      <c r="D46" s="17">
        <v>0</v>
      </c>
      <c r="E46" s="17">
        <v>0</v>
      </c>
      <c r="F46" s="17">
        <v>0</v>
      </c>
      <c r="G46" s="22">
        <f t="shared" si="0"/>
        <v>0</v>
      </c>
      <c r="H46" s="11" t="s">
        <v>110</v>
      </c>
      <c r="I46" s="24" t="str">
        <f>IFERROR(VLOOKUP($H46,'[1]Actual &amp; PO  Analysis 2020'!$A$4:$BJ$300,62,0),"")</f>
        <v/>
      </c>
      <c r="J46" s="24" t="str">
        <f>IFERROR(VLOOKUP($H46,'[1]Actual &amp; PO  Analysis 2020'!$A$4:$BP$300,68,0),"")</f>
        <v/>
      </c>
      <c r="K46" s="24" t="str">
        <f>IFERROR(VLOOKUP($H46,'[1]Actual &amp; PO  Analysis 2020'!$A$4:$BV$300,74,0),"")</f>
        <v/>
      </c>
      <c r="L46" s="24" t="str">
        <f>IFERROR(VLOOKUP($H46,'[1]Actual &amp; PO  Analysis 2020'!$A$4:$CB$300,80,0),"")</f>
        <v/>
      </c>
      <c r="M46" s="24" t="str">
        <f>IFERROR(VLOOKUP($H46,'[1]Actual &amp; PO  Analysis 2020'!$A$4:$CH$300,86,0),"")</f>
        <v/>
      </c>
      <c r="N46" s="25">
        <v>0</v>
      </c>
    </row>
    <row r="47" spans="1:14" x14ac:dyDescent="0.25">
      <c r="A47" s="11" t="s">
        <v>300</v>
      </c>
      <c r="B47" s="17">
        <v>0</v>
      </c>
      <c r="C47" s="17">
        <v>3.99</v>
      </c>
      <c r="D47" s="17">
        <v>2.88</v>
      </c>
      <c r="E47" s="17">
        <v>0</v>
      </c>
      <c r="F47" s="17">
        <v>1.6</v>
      </c>
      <c r="G47" s="22">
        <f t="shared" si="0"/>
        <v>8.4700000000000006</v>
      </c>
      <c r="H47" s="11" t="s">
        <v>421</v>
      </c>
      <c r="I47" s="24" t="str">
        <f>IFERROR(VLOOKUP($H47,'[1]Actual &amp; PO  Analysis 2020'!$A$4:$BJ$300,62,0),"")</f>
        <v/>
      </c>
      <c r="J47" s="24" t="str">
        <f>IFERROR(VLOOKUP($H47,'[1]Actual &amp; PO  Analysis 2020'!$A$4:$BP$300,68,0),"")</f>
        <v/>
      </c>
      <c r="K47" s="24" t="str">
        <f>IFERROR(VLOOKUP($H47,'[1]Actual &amp; PO  Analysis 2020'!$A$4:$BV$300,74,0),"")</f>
        <v/>
      </c>
      <c r="L47" s="24" t="str">
        <f>IFERROR(VLOOKUP($H47,'[1]Actual &amp; PO  Analysis 2020'!$A$4:$CB$300,80,0),"")</f>
        <v/>
      </c>
      <c r="M47" s="24" t="str">
        <f>IFERROR(VLOOKUP($H47,'[1]Actual &amp; PO  Analysis 2020'!$A$4:$CH$300,86,0),"")</f>
        <v/>
      </c>
      <c r="N47" s="25">
        <v>0</v>
      </c>
    </row>
    <row r="48" spans="1:14" x14ac:dyDescent="0.25">
      <c r="A48" s="11" t="s">
        <v>298</v>
      </c>
      <c r="B48" s="17">
        <v>0</v>
      </c>
      <c r="C48" s="17">
        <v>4.5</v>
      </c>
      <c r="D48" s="17">
        <v>3.25</v>
      </c>
      <c r="E48" s="17">
        <v>0.1</v>
      </c>
      <c r="F48" s="17">
        <v>0.81</v>
      </c>
      <c r="G48" s="22">
        <f t="shared" si="0"/>
        <v>8.66</v>
      </c>
      <c r="H48" s="11" t="s">
        <v>125</v>
      </c>
      <c r="I48" s="24" t="str">
        <f>IFERROR(VLOOKUP($H48,'[1]Actual &amp; PO  Analysis 2020'!$A$4:$BJ$300,62,0),"")</f>
        <v/>
      </c>
      <c r="J48" s="24" t="str">
        <f>IFERROR(VLOOKUP($H48,'[1]Actual &amp; PO  Analysis 2020'!$A$4:$BP$300,68,0),"")</f>
        <v/>
      </c>
      <c r="K48" s="24" t="str">
        <f>IFERROR(VLOOKUP($H48,'[1]Actual &amp; PO  Analysis 2020'!$A$4:$BV$300,74,0),"")</f>
        <v/>
      </c>
      <c r="L48" s="24" t="str">
        <f>IFERROR(VLOOKUP($H48,'[1]Actual &amp; PO  Analysis 2020'!$A$4:$CB$300,80,0),"")</f>
        <v/>
      </c>
      <c r="M48" s="24" t="str">
        <f>IFERROR(VLOOKUP($H48,'[1]Actual &amp; PO  Analysis 2020'!$A$4:$CH$300,86,0),"")</f>
        <v/>
      </c>
      <c r="N48" s="25">
        <v>0</v>
      </c>
    </row>
    <row r="49" spans="1:14" x14ac:dyDescent="0.25">
      <c r="A49" s="11" t="s">
        <v>352</v>
      </c>
      <c r="B49" s="17">
        <v>0</v>
      </c>
      <c r="C49" s="17">
        <v>23.1</v>
      </c>
      <c r="D49" s="17">
        <v>5.58</v>
      </c>
      <c r="E49" s="17">
        <v>0.2</v>
      </c>
      <c r="F49" s="17">
        <v>1.08</v>
      </c>
      <c r="G49" s="22">
        <f t="shared" si="0"/>
        <v>29.96</v>
      </c>
      <c r="H49" s="11" t="s">
        <v>413</v>
      </c>
      <c r="I49" s="24" t="str">
        <f>IFERROR(VLOOKUP($H49,'[1]Actual &amp; PO  Analysis 2020'!$A$4:$BJ$300,62,0),"")</f>
        <v/>
      </c>
      <c r="J49" s="24" t="str">
        <f>IFERROR(VLOOKUP($H49,'[1]Actual &amp; PO  Analysis 2020'!$A$4:$BP$300,68,0),"")</f>
        <v/>
      </c>
      <c r="K49" s="24" t="str">
        <f>IFERROR(VLOOKUP($H49,'[1]Actual &amp; PO  Analysis 2020'!$A$4:$BV$300,74,0),"")</f>
        <v/>
      </c>
      <c r="L49" s="24" t="str">
        <f>IFERROR(VLOOKUP($H49,'[1]Actual &amp; PO  Analysis 2020'!$A$4:$CB$300,80,0),"")</f>
        <v/>
      </c>
      <c r="M49" s="24" t="str">
        <f>IFERROR(VLOOKUP($H49,'[1]Actual &amp; PO  Analysis 2020'!$A$4:$CH$300,86,0),"")</f>
        <v/>
      </c>
      <c r="N49" s="25">
        <v>0</v>
      </c>
    </row>
    <row r="50" spans="1:14" x14ac:dyDescent="0.25">
      <c r="A50" s="11" t="s">
        <v>292</v>
      </c>
      <c r="B50" s="17">
        <v>0</v>
      </c>
      <c r="C50" s="17">
        <v>19.05</v>
      </c>
      <c r="D50" s="17">
        <v>5.58</v>
      </c>
      <c r="E50" s="17">
        <v>0.3</v>
      </c>
      <c r="F50" s="17">
        <v>1.08</v>
      </c>
      <c r="G50" s="22">
        <f t="shared" si="0"/>
        <v>26.010000000000005</v>
      </c>
      <c r="H50" s="11" t="s">
        <v>378</v>
      </c>
      <c r="I50" s="24" t="str">
        <f>IFERROR(VLOOKUP($H50,'[1]Actual &amp; PO  Analysis 2020'!$A$4:$BJ$300,62,0),"")</f>
        <v/>
      </c>
      <c r="J50" s="24" t="str">
        <f>IFERROR(VLOOKUP($H50,'[1]Actual &amp; PO  Analysis 2020'!$A$4:$BP$300,68,0),"")</f>
        <v/>
      </c>
      <c r="K50" s="24" t="str">
        <f>IFERROR(VLOOKUP($H50,'[1]Actual &amp; PO  Analysis 2020'!$A$4:$BV$300,74,0),"")</f>
        <v/>
      </c>
      <c r="L50" s="24" t="str">
        <f>IFERROR(VLOOKUP($H50,'[1]Actual &amp; PO  Analysis 2020'!$A$4:$CB$300,80,0),"")</f>
        <v/>
      </c>
      <c r="M50" s="24" t="str">
        <f>IFERROR(VLOOKUP($H50,'[1]Actual &amp; PO  Analysis 2020'!$A$4:$CH$300,86,0),"")</f>
        <v/>
      </c>
      <c r="N50" s="25">
        <v>0</v>
      </c>
    </row>
    <row r="51" spans="1:14" x14ac:dyDescent="0.25">
      <c r="A51" s="11" t="s">
        <v>293</v>
      </c>
      <c r="B51" s="17">
        <v>0</v>
      </c>
      <c r="C51" s="17">
        <v>17.135000000000002</v>
      </c>
      <c r="D51" s="17">
        <v>3.782</v>
      </c>
      <c r="E51" s="17">
        <v>0.16900000000000001</v>
      </c>
      <c r="F51" s="17">
        <v>0.91400000000000003</v>
      </c>
      <c r="G51" s="22">
        <f t="shared" si="0"/>
        <v>22.000000000000004</v>
      </c>
      <c r="H51" s="11" t="s">
        <v>300</v>
      </c>
      <c r="I51" s="24" t="str">
        <f>IFERROR(VLOOKUP($H51,'[1]Actual &amp; PO  Analysis 2020'!$A$4:$BJ$300,62,0),"")</f>
        <v/>
      </c>
      <c r="J51" s="24" t="str">
        <f>IFERROR(VLOOKUP($H51,'[1]Actual &amp; PO  Analysis 2020'!$A$4:$BP$300,68,0),"")</f>
        <v/>
      </c>
      <c r="K51" s="24" t="str">
        <f>IFERROR(VLOOKUP($H51,'[1]Actual &amp; PO  Analysis 2020'!$A$4:$BV$300,74,0),"")</f>
        <v/>
      </c>
      <c r="L51" s="24" t="str">
        <f>IFERROR(VLOOKUP($H51,'[1]Actual &amp; PO  Analysis 2020'!$A$4:$CB$300,80,0),"")</f>
        <v/>
      </c>
      <c r="M51" s="24" t="str">
        <f>IFERROR(VLOOKUP($H51,'[1]Actual &amp; PO  Analysis 2020'!$A$4:$CH$300,86,0),"")</f>
        <v/>
      </c>
      <c r="N51" s="25">
        <v>0</v>
      </c>
    </row>
    <row r="52" spans="1:14" x14ac:dyDescent="0.25">
      <c r="A52" s="11" t="s">
        <v>356</v>
      </c>
      <c r="B52" s="17">
        <v>0</v>
      </c>
      <c r="C52" s="17">
        <v>20.100000000000001</v>
      </c>
      <c r="D52" s="17">
        <v>4.5199999999999996</v>
      </c>
      <c r="E52" s="17">
        <v>0.3</v>
      </c>
      <c r="F52" s="17">
        <v>1.08</v>
      </c>
      <c r="G52" s="22">
        <f t="shared" si="0"/>
        <v>26</v>
      </c>
      <c r="H52" s="11" t="s">
        <v>298</v>
      </c>
      <c r="I52" s="24" t="str">
        <f>IFERROR(VLOOKUP($H52,'[1]Actual &amp; PO  Analysis 2020'!$A$4:$BJ$300,62,0),"")</f>
        <v/>
      </c>
      <c r="J52" s="24" t="str">
        <f>IFERROR(VLOOKUP($H52,'[1]Actual &amp; PO  Analysis 2020'!$A$4:$BP$300,68,0),"")</f>
        <v/>
      </c>
      <c r="K52" s="24" t="str">
        <f>IFERROR(VLOOKUP($H52,'[1]Actual &amp; PO  Analysis 2020'!$A$4:$BV$300,74,0),"")</f>
        <v/>
      </c>
      <c r="L52" s="24" t="str">
        <f>IFERROR(VLOOKUP($H52,'[1]Actual &amp; PO  Analysis 2020'!$A$4:$CB$300,80,0),"")</f>
        <v/>
      </c>
      <c r="M52" s="24" t="str">
        <f>IFERROR(VLOOKUP($H52,'[1]Actual &amp; PO  Analysis 2020'!$A$4:$CH$300,86,0),"")</f>
        <v/>
      </c>
      <c r="N52" s="25">
        <v>0</v>
      </c>
    </row>
    <row r="53" spans="1:14" x14ac:dyDescent="0.25">
      <c r="A53" s="11" t="s">
        <v>350</v>
      </c>
      <c r="B53" s="17">
        <v>0</v>
      </c>
      <c r="C53" s="17">
        <v>2.16</v>
      </c>
      <c r="D53" s="17">
        <v>2.6399999999999997</v>
      </c>
      <c r="E53" s="17">
        <v>0.2</v>
      </c>
      <c r="F53" s="17">
        <v>0.9</v>
      </c>
      <c r="G53" s="22">
        <f t="shared" si="0"/>
        <v>5.9</v>
      </c>
      <c r="H53" s="11" t="s">
        <v>352</v>
      </c>
      <c r="I53" s="24" t="str">
        <f>IFERROR(VLOOKUP($H53,'[1]Actual &amp; PO  Analysis 2020'!$A$4:$BJ$300,62,0),"")</f>
        <v/>
      </c>
      <c r="J53" s="24" t="str">
        <f>IFERROR(VLOOKUP($H53,'[1]Actual &amp; PO  Analysis 2020'!$A$4:$BP$300,68,0),"")</f>
        <v/>
      </c>
      <c r="K53" s="24" t="str">
        <f>IFERROR(VLOOKUP($H53,'[1]Actual &amp; PO  Analysis 2020'!$A$4:$BV$300,74,0),"")</f>
        <v/>
      </c>
      <c r="L53" s="24" t="str">
        <f>IFERROR(VLOOKUP($H53,'[1]Actual &amp; PO  Analysis 2020'!$A$4:$CB$300,80,0),"")</f>
        <v/>
      </c>
      <c r="M53" s="24" t="str">
        <f>IFERROR(VLOOKUP($H53,'[1]Actual &amp; PO  Analysis 2020'!$A$4:$CH$300,86,0),"")</f>
        <v/>
      </c>
      <c r="N53" s="25">
        <v>0</v>
      </c>
    </row>
    <row r="54" spans="1:14" x14ac:dyDescent="0.25">
      <c r="A54" s="11" t="s">
        <v>348</v>
      </c>
      <c r="B54" s="17">
        <v>0</v>
      </c>
      <c r="C54" s="17">
        <v>2.5150000000000001</v>
      </c>
      <c r="D54" s="17">
        <v>2.5979999999999999</v>
      </c>
      <c r="E54" s="17">
        <v>9.2999999999999999E-2</v>
      </c>
      <c r="F54" s="17">
        <v>0.89400000000000002</v>
      </c>
      <c r="G54" s="22">
        <f t="shared" si="0"/>
        <v>6.1</v>
      </c>
      <c r="H54" s="11" t="s">
        <v>292</v>
      </c>
      <c r="I54" s="24" t="str">
        <f>IFERROR(VLOOKUP($H54,'[1]Actual &amp; PO  Analysis 2020'!$A$4:$BJ$300,62,0),"")</f>
        <v/>
      </c>
      <c r="J54" s="24" t="str">
        <f>IFERROR(VLOOKUP($H54,'[1]Actual &amp; PO  Analysis 2020'!$A$4:$BP$300,68,0),"")</f>
        <v/>
      </c>
      <c r="K54" s="24" t="str">
        <f>IFERROR(VLOOKUP($H54,'[1]Actual &amp; PO  Analysis 2020'!$A$4:$BV$300,74,0),"")</f>
        <v/>
      </c>
      <c r="L54" s="24" t="str">
        <f>IFERROR(VLOOKUP($H54,'[1]Actual &amp; PO  Analysis 2020'!$A$4:$CB$300,80,0),"")</f>
        <v/>
      </c>
      <c r="M54" s="24" t="str">
        <f>IFERROR(VLOOKUP($H54,'[1]Actual &amp; PO  Analysis 2020'!$A$4:$CH$300,86,0),"")</f>
        <v/>
      </c>
      <c r="N54" s="25">
        <v>0</v>
      </c>
    </row>
    <row r="55" spans="1:14" x14ac:dyDescent="0.25">
      <c r="A55" s="11" t="s">
        <v>294</v>
      </c>
      <c r="B55" s="17">
        <v>0</v>
      </c>
      <c r="C55" s="17">
        <v>1.333</v>
      </c>
      <c r="D55" s="17">
        <v>1.3340000000000001</v>
      </c>
      <c r="E55" s="17">
        <v>0</v>
      </c>
      <c r="F55" s="17">
        <v>1.333</v>
      </c>
      <c r="G55" s="22">
        <f t="shared" si="0"/>
        <v>4</v>
      </c>
      <c r="H55" s="11" t="s">
        <v>293</v>
      </c>
      <c r="I55" s="24" t="str">
        <f>IFERROR(VLOOKUP($H55,'[1]Actual &amp; PO  Analysis 2020'!$A$4:$BJ$300,62,0),"")</f>
        <v/>
      </c>
      <c r="J55" s="24" t="str">
        <f>IFERROR(VLOOKUP($H55,'[1]Actual &amp; PO  Analysis 2020'!$A$4:$BP$300,68,0),"")</f>
        <v/>
      </c>
      <c r="K55" s="24" t="str">
        <f>IFERROR(VLOOKUP($H55,'[1]Actual &amp; PO  Analysis 2020'!$A$4:$BV$300,74,0),"")</f>
        <v/>
      </c>
      <c r="L55" s="24" t="str">
        <f>IFERROR(VLOOKUP($H55,'[1]Actual &amp; PO  Analysis 2020'!$A$4:$CB$300,80,0),"")</f>
        <v/>
      </c>
      <c r="M55" s="24" t="str">
        <f>IFERROR(VLOOKUP($H55,'[1]Actual &amp; PO  Analysis 2020'!$A$4:$CH$300,86,0),"")</f>
        <v/>
      </c>
      <c r="N55" s="25">
        <v>0</v>
      </c>
    </row>
    <row r="56" spans="1:14" x14ac:dyDescent="0.25">
      <c r="A56" s="11" t="s">
        <v>295</v>
      </c>
      <c r="B56" s="17">
        <v>0</v>
      </c>
      <c r="C56" s="17">
        <v>1.39</v>
      </c>
      <c r="D56" s="17">
        <v>3.3369999999999997</v>
      </c>
      <c r="E56" s="17">
        <v>0.10299999999999999</v>
      </c>
      <c r="F56" s="17">
        <v>1.1120000000000001</v>
      </c>
      <c r="G56" s="22">
        <f t="shared" si="0"/>
        <v>5.9419999999999993</v>
      </c>
      <c r="H56" s="11" t="s">
        <v>356</v>
      </c>
      <c r="I56" s="24" t="str">
        <f>IFERROR(VLOOKUP($H56,'[1]Actual &amp; PO  Analysis 2020'!$A$4:$BJ$300,62,0),"")</f>
        <v/>
      </c>
      <c r="J56" s="24" t="str">
        <f>IFERROR(VLOOKUP($H56,'[1]Actual &amp; PO  Analysis 2020'!$A$4:$BP$300,68,0),"")</f>
        <v/>
      </c>
      <c r="K56" s="24" t="str">
        <f>IFERROR(VLOOKUP($H56,'[1]Actual &amp; PO  Analysis 2020'!$A$4:$BV$300,74,0),"")</f>
        <v/>
      </c>
      <c r="L56" s="24" t="str">
        <f>IFERROR(VLOOKUP($H56,'[1]Actual &amp; PO  Analysis 2020'!$A$4:$CB$300,80,0),"")</f>
        <v/>
      </c>
      <c r="M56" s="24" t="str">
        <f>IFERROR(VLOOKUP($H56,'[1]Actual &amp; PO  Analysis 2020'!$A$4:$CH$300,86,0),"")</f>
        <v/>
      </c>
      <c r="N56" s="25">
        <v>0</v>
      </c>
    </row>
    <row r="57" spans="1:14" x14ac:dyDescent="0.25">
      <c r="A57" s="11" t="s">
        <v>296</v>
      </c>
      <c r="B57" s="17">
        <v>0</v>
      </c>
      <c r="C57" s="17">
        <v>1.08</v>
      </c>
      <c r="D57" s="17">
        <v>2.54</v>
      </c>
      <c r="E57" s="17">
        <v>0</v>
      </c>
      <c r="F57" s="17">
        <v>0.76</v>
      </c>
      <c r="G57" s="22">
        <f t="shared" si="0"/>
        <v>4.38</v>
      </c>
      <c r="H57" s="11" t="s">
        <v>350</v>
      </c>
      <c r="I57" s="24" t="str">
        <f>IFERROR(VLOOKUP($H57,'[1]Actual &amp; PO  Analysis 2020'!$A$4:$BJ$300,62,0),"")</f>
        <v/>
      </c>
      <c r="J57" s="24" t="str">
        <f>IFERROR(VLOOKUP($H57,'[1]Actual &amp; PO  Analysis 2020'!$A$4:$BP$300,68,0),"")</f>
        <v/>
      </c>
      <c r="K57" s="24" t="str">
        <f>IFERROR(VLOOKUP($H57,'[1]Actual &amp; PO  Analysis 2020'!$A$4:$BV$300,74,0),"")</f>
        <v/>
      </c>
      <c r="L57" s="24" t="str">
        <f>IFERROR(VLOOKUP($H57,'[1]Actual &amp; PO  Analysis 2020'!$A$4:$CB$300,80,0),"")</f>
        <v/>
      </c>
      <c r="M57" s="24" t="str">
        <f>IFERROR(VLOOKUP($H57,'[1]Actual &amp; PO  Analysis 2020'!$A$4:$CH$300,86,0),"")</f>
        <v/>
      </c>
      <c r="N57" s="25">
        <v>0</v>
      </c>
    </row>
    <row r="58" spans="1:14" x14ac:dyDescent="0.25">
      <c r="A58" s="11" t="s">
        <v>285</v>
      </c>
      <c r="B58" s="17">
        <v>0</v>
      </c>
      <c r="C58" s="17">
        <v>4.9820000000000002</v>
      </c>
      <c r="D58" s="17">
        <v>3.298</v>
      </c>
      <c r="E58" s="17">
        <v>0.122</v>
      </c>
      <c r="F58" s="17">
        <v>1.319</v>
      </c>
      <c r="G58" s="22">
        <f t="shared" si="0"/>
        <v>9.7210000000000001</v>
      </c>
      <c r="H58" s="11" t="s">
        <v>348</v>
      </c>
      <c r="I58" s="24" t="str">
        <f>IFERROR(VLOOKUP($H58,'[1]Actual &amp; PO  Analysis 2020'!$A$4:$BJ$300,62,0),"")</f>
        <v/>
      </c>
      <c r="J58" s="24" t="str">
        <f>IFERROR(VLOOKUP($H58,'[1]Actual &amp; PO  Analysis 2020'!$A$4:$BP$300,68,0),"")</f>
        <v/>
      </c>
      <c r="K58" s="24" t="str">
        <f>IFERROR(VLOOKUP($H58,'[1]Actual &amp; PO  Analysis 2020'!$A$4:$BV$300,74,0),"")</f>
        <v/>
      </c>
      <c r="L58" s="24" t="str">
        <f>IFERROR(VLOOKUP($H58,'[1]Actual &amp; PO  Analysis 2020'!$A$4:$CB$300,80,0),"")</f>
        <v/>
      </c>
      <c r="M58" s="24" t="str">
        <f>IFERROR(VLOOKUP($H58,'[1]Actual &amp; PO  Analysis 2020'!$A$4:$CH$300,86,0),"")</f>
        <v/>
      </c>
      <c r="N58" s="25">
        <v>0</v>
      </c>
    </row>
    <row r="59" spans="1:14" x14ac:dyDescent="0.25">
      <c r="A59" s="11" t="s">
        <v>286</v>
      </c>
      <c r="B59" s="17">
        <v>0</v>
      </c>
      <c r="C59" s="17">
        <v>3.31</v>
      </c>
      <c r="D59" s="17">
        <v>2.7</v>
      </c>
      <c r="E59" s="17">
        <v>0</v>
      </c>
      <c r="F59" s="17">
        <v>0.76</v>
      </c>
      <c r="G59" s="22">
        <f t="shared" si="0"/>
        <v>6.77</v>
      </c>
      <c r="H59" s="11" t="s">
        <v>294</v>
      </c>
      <c r="I59" s="24" t="str">
        <f>IFERROR(VLOOKUP($H59,'[1]Actual &amp; PO  Analysis 2020'!$A$4:$BJ$300,62,0),"")</f>
        <v/>
      </c>
      <c r="J59" s="24" t="str">
        <f>IFERROR(VLOOKUP($H59,'[1]Actual &amp; PO  Analysis 2020'!$A$4:$BP$300,68,0),"")</f>
        <v/>
      </c>
      <c r="K59" s="24" t="str">
        <f>IFERROR(VLOOKUP($H59,'[1]Actual &amp; PO  Analysis 2020'!$A$4:$BV$300,74,0),"")</f>
        <v/>
      </c>
      <c r="L59" s="24" t="str">
        <f>IFERROR(VLOOKUP($H59,'[1]Actual &amp; PO  Analysis 2020'!$A$4:$CB$300,80,0),"")</f>
        <v/>
      </c>
      <c r="M59" s="24" t="str">
        <f>IFERROR(VLOOKUP($H59,'[1]Actual &amp; PO  Analysis 2020'!$A$4:$CH$300,86,0),"")</f>
        <v/>
      </c>
      <c r="N59" s="25">
        <v>0</v>
      </c>
    </row>
    <row r="60" spans="1:14" x14ac:dyDescent="0.25">
      <c r="A60" s="11" t="s">
        <v>297</v>
      </c>
      <c r="B60" s="17">
        <v>0</v>
      </c>
      <c r="C60" s="17">
        <v>1.08</v>
      </c>
      <c r="D60" s="17">
        <v>1.92</v>
      </c>
      <c r="E60" s="17">
        <v>0</v>
      </c>
      <c r="F60" s="17">
        <v>1.2</v>
      </c>
      <c r="G60" s="22">
        <f t="shared" si="0"/>
        <v>4.2</v>
      </c>
      <c r="H60" s="11" t="s">
        <v>295</v>
      </c>
      <c r="I60" s="24" t="str">
        <f>IFERROR(VLOOKUP($H60,'[1]Actual &amp; PO  Analysis 2020'!$A$4:$BJ$300,62,0),"")</f>
        <v/>
      </c>
      <c r="J60" s="24" t="str">
        <f>IFERROR(VLOOKUP($H60,'[1]Actual &amp; PO  Analysis 2020'!$A$4:$BP$300,68,0),"")</f>
        <v/>
      </c>
      <c r="K60" s="24" t="str">
        <f>IFERROR(VLOOKUP($H60,'[1]Actual &amp; PO  Analysis 2020'!$A$4:$BV$300,74,0),"")</f>
        <v/>
      </c>
      <c r="L60" s="24" t="str">
        <f>IFERROR(VLOOKUP($H60,'[1]Actual &amp; PO  Analysis 2020'!$A$4:$CB$300,80,0),"")</f>
        <v/>
      </c>
      <c r="M60" s="24" t="str">
        <f>IFERROR(VLOOKUP($H60,'[1]Actual &amp; PO  Analysis 2020'!$A$4:$CH$300,86,0),"")</f>
        <v/>
      </c>
      <c r="N60" s="25">
        <v>0</v>
      </c>
    </row>
    <row r="61" spans="1:14" x14ac:dyDescent="0.25">
      <c r="A61" s="11" t="s">
        <v>287</v>
      </c>
      <c r="B61" s="17">
        <v>0</v>
      </c>
      <c r="C61" s="17">
        <v>2.4500000000000002</v>
      </c>
      <c r="D61" s="17">
        <v>2.36</v>
      </c>
      <c r="E61" s="17">
        <v>0</v>
      </c>
      <c r="F61" s="17">
        <v>0.86</v>
      </c>
      <c r="G61" s="22">
        <f t="shared" si="0"/>
        <v>5.6700000000000008</v>
      </c>
      <c r="H61" s="11" t="s">
        <v>296</v>
      </c>
      <c r="I61" s="24" t="str">
        <f>IFERROR(VLOOKUP($H61,'[1]Actual &amp; PO  Analysis 2020'!$A$4:$BJ$300,62,0),"")</f>
        <v/>
      </c>
      <c r="J61" s="24" t="str">
        <f>IFERROR(VLOOKUP($H61,'[1]Actual &amp; PO  Analysis 2020'!$A$4:$BP$300,68,0),"")</f>
        <v/>
      </c>
      <c r="K61" s="24" t="str">
        <f>IFERROR(VLOOKUP($H61,'[1]Actual &amp; PO  Analysis 2020'!$A$4:$BV$300,74,0),"")</f>
        <v/>
      </c>
      <c r="L61" s="24" t="str">
        <f>IFERROR(VLOOKUP($H61,'[1]Actual &amp; PO  Analysis 2020'!$A$4:$CB$300,80,0),"")</f>
        <v/>
      </c>
      <c r="M61" s="24" t="str">
        <f>IFERROR(VLOOKUP($H61,'[1]Actual &amp; PO  Analysis 2020'!$A$4:$CH$300,86,0),"")</f>
        <v/>
      </c>
      <c r="N61" s="25">
        <v>0</v>
      </c>
    </row>
    <row r="62" spans="1:14" x14ac:dyDescent="0.25">
      <c r="A62" s="11" t="s">
        <v>288</v>
      </c>
      <c r="B62" s="17">
        <v>0</v>
      </c>
      <c r="C62" s="17">
        <v>4.47</v>
      </c>
      <c r="D62" s="17">
        <v>4.2300000000000004</v>
      </c>
      <c r="E62" s="17">
        <v>0.1</v>
      </c>
      <c r="F62" s="17">
        <v>1.44</v>
      </c>
      <c r="G62" s="22">
        <f t="shared" si="0"/>
        <v>10.239999999999998</v>
      </c>
      <c r="H62" s="11" t="s">
        <v>285</v>
      </c>
      <c r="I62" s="24" t="str">
        <f>IFERROR(VLOOKUP($H62,'[1]Actual &amp; PO  Analysis 2020'!$A$4:$BJ$300,62,0),"")</f>
        <v/>
      </c>
      <c r="J62" s="24" t="str">
        <f>IFERROR(VLOOKUP($H62,'[1]Actual &amp; PO  Analysis 2020'!$A$4:$BP$300,68,0),"")</f>
        <v/>
      </c>
      <c r="K62" s="24" t="str">
        <f>IFERROR(VLOOKUP($H62,'[1]Actual &amp; PO  Analysis 2020'!$A$4:$BV$300,74,0),"")</f>
        <v/>
      </c>
      <c r="L62" s="24" t="str">
        <f>IFERROR(VLOOKUP($H62,'[1]Actual &amp; PO  Analysis 2020'!$A$4:$CB$300,80,0),"")</f>
        <v/>
      </c>
      <c r="M62" s="24" t="str">
        <f>IFERROR(VLOOKUP($H62,'[1]Actual &amp; PO  Analysis 2020'!$A$4:$CH$300,86,0),"")</f>
        <v/>
      </c>
      <c r="N62" s="25">
        <v>0</v>
      </c>
    </row>
    <row r="63" spans="1:14" x14ac:dyDescent="0.25">
      <c r="A63" s="11" t="s">
        <v>349</v>
      </c>
      <c r="B63" s="17">
        <v>0</v>
      </c>
      <c r="C63" s="17">
        <v>3.2530000000000001</v>
      </c>
      <c r="D63" s="17">
        <v>1.7569999999999999</v>
      </c>
      <c r="E63" s="17">
        <v>0</v>
      </c>
      <c r="F63" s="17">
        <v>1.29</v>
      </c>
      <c r="G63" s="22">
        <f t="shared" si="0"/>
        <v>6.3</v>
      </c>
      <c r="H63" s="11" t="s">
        <v>286</v>
      </c>
      <c r="I63" s="24" t="str">
        <f>IFERROR(VLOOKUP($H63,'[1]Actual &amp; PO  Analysis 2020'!$A$4:$BJ$300,62,0),"")</f>
        <v/>
      </c>
      <c r="J63" s="24" t="str">
        <f>IFERROR(VLOOKUP($H63,'[1]Actual &amp; PO  Analysis 2020'!$A$4:$BP$300,68,0),"")</f>
        <v/>
      </c>
      <c r="K63" s="24" t="str">
        <f>IFERROR(VLOOKUP($H63,'[1]Actual &amp; PO  Analysis 2020'!$A$4:$BV$300,74,0),"")</f>
        <v/>
      </c>
      <c r="L63" s="24" t="str">
        <f>IFERROR(VLOOKUP($H63,'[1]Actual &amp; PO  Analysis 2020'!$A$4:$CB$300,80,0),"")</f>
        <v/>
      </c>
      <c r="M63" s="24" t="str">
        <f>IFERROR(VLOOKUP($H63,'[1]Actual &amp; PO  Analysis 2020'!$A$4:$CH$300,86,0),"")</f>
        <v/>
      </c>
      <c r="N63" s="25">
        <v>0</v>
      </c>
    </row>
    <row r="64" spans="1:14" x14ac:dyDescent="0.25">
      <c r="A64" s="11" t="s">
        <v>289</v>
      </c>
      <c r="B64" s="17">
        <v>0</v>
      </c>
      <c r="C64" s="17">
        <v>3</v>
      </c>
      <c r="D64" s="17">
        <v>1.62</v>
      </c>
      <c r="E64" s="17">
        <v>0</v>
      </c>
      <c r="F64" s="17">
        <v>1.19</v>
      </c>
      <c r="G64" s="22">
        <f t="shared" si="0"/>
        <v>5.8100000000000005</v>
      </c>
      <c r="H64" s="11" t="s">
        <v>297</v>
      </c>
      <c r="I64" s="24" t="str">
        <f>IFERROR(VLOOKUP($H64,'[1]Actual &amp; PO  Analysis 2020'!$A$4:$BJ$300,62,0),"")</f>
        <v/>
      </c>
      <c r="J64" s="24" t="str">
        <f>IFERROR(VLOOKUP($H64,'[1]Actual &amp; PO  Analysis 2020'!$A$4:$BP$300,68,0),"")</f>
        <v/>
      </c>
      <c r="K64" s="24" t="str">
        <f>IFERROR(VLOOKUP($H64,'[1]Actual &amp; PO  Analysis 2020'!$A$4:$BV$300,74,0),"")</f>
        <v/>
      </c>
      <c r="L64" s="24" t="str">
        <f>IFERROR(VLOOKUP($H64,'[1]Actual &amp; PO  Analysis 2020'!$A$4:$CB$300,80,0),"")</f>
        <v/>
      </c>
      <c r="M64" s="24" t="str">
        <f>IFERROR(VLOOKUP($H64,'[1]Actual &amp; PO  Analysis 2020'!$A$4:$CH$300,86,0),"")</f>
        <v/>
      </c>
      <c r="N64" s="25">
        <v>0</v>
      </c>
    </row>
    <row r="65" spans="1:14" x14ac:dyDescent="0.25">
      <c r="A65" s="11" t="s">
        <v>290</v>
      </c>
      <c r="B65" s="17">
        <v>0</v>
      </c>
      <c r="C65" s="17">
        <v>3.3519999999999999</v>
      </c>
      <c r="D65" s="17">
        <v>3.4630000000000001</v>
      </c>
      <c r="E65" s="17">
        <v>0.124</v>
      </c>
      <c r="F65" s="17">
        <v>1.1919999999999999</v>
      </c>
      <c r="G65" s="22">
        <f t="shared" si="0"/>
        <v>8.1309999999999985</v>
      </c>
      <c r="H65" s="11" t="s">
        <v>287</v>
      </c>
      <c r="I65" s="24" t="str">
        <f>IFERROR(VLOOKUP($H65,'[1]Actual &amp; PO  Analysis 2020'!$A$4:$BJ$300,62,0),"")</f>
        <v/>
      </c>
      <c r="J65" s="24" t="str">
        <f>IFERROR(VLOOKUP($H65,'[1]Actual &amp; PO  Analysis 2020'!$A$4:$BP$300,68,0),"")</f>
        <v/>
      </c>
      <c r="K65" s="24" t="str">
        <f>IFERROR(VLOOKUP($H65,'[1]Actual &amp; PO  Analysis 2020'!$A$4:$BV$300,74,0),"")</f>
        <v/>
      </c>
      <c r="L65" s="24" t="str">
        <f>IFERROR(VLOOKUP($H65,'[1]Actual &amp; PO  Analysis 2020'!$A$4:$CB$300,80,0),"")</f>
        <v/>
      </c>
      <c r="M65" s="24" t="str">
        <f>IFERROR(VLOOKUP($H65,'[1]Actual &amp; PO  Analysis 2020'!$A$4:$CH$300,86,0),"")</f>
        <v/>
      </c>
      <c r="N65" s="25">
        <v>0</v>
      </c>
    </row>
    <row r="66" spans="1:14" x14ac:dyDescent="0.25">
      <c r="A66" s="11" t="s">
        <v>392</v>
      </c>
      <c r="B66" s="17">
        <v>0</v>
      </c>
      <c r="C66" s="17">
        <v>5.05</v>
      </c>
      <c r="D66" s="17">
        <v>4.6099999999999994</v>
      </c>
      <c r="E66" s="17">
        <v>0.1</v>
      </c>
      <c r="F66" s="17">
        <v>0.96</v>
      </c>
      <c r="G66" s="22">
        <f t="shared" ref="G66:G129" si="1">SUM(B66:F66)</f>
        <v>10.719999999999999</v>
      </c>
      <c r="H66" s="11" t="s">
        <v>288</v>
      </c>
      <c r="I66" s="24" t="str">
        <f>IFERROR(VLOOKUP($H66,'[1]Actual &amp; PO  Analysis 2020'!$A$4:$BJ$300,62,0),"")</f>
        <v/>
      </c>
      <c r="J66" s="24" t="str">
        <f>IFERROR(VLOOKUP($H66,'[1]Actual &amp; PO  Analysis 2020'!$A$4:$BP$300,68,0),"")</f>
        <v/>
      </c>
      <c r="K66" s="24" t="str">
        <f>IFERROR(VLOOKUP($H66,'[1]Actual &amp; PO  Analysis 2020'!$A$4:$BV$300,74,0),"")</f>
        <v/>
      </c>
      <c r="L66" s="24" t="str">
        <f>IFERROR(VLOOKUP($H66,'[1]Actual &amp; PO  Analysis 2020'!$A$4:$CB$300,80,0),"")</f>
        <v/>
      </c>
      <c r="M66" s="24" t="str">
        <f>IFERROR(VLOOKUP($H66,'[1]Actual &amp; PO  Analysis 2020'!$A$4:$CH$300,86,0),"")</f>
        <v/>
      </c>
      <c r="N66" s="25">
        <v>0</v>
      </c>
    </row>
    <row r="67" spans="1:14" x14ac:dyDescent="0.25">
      <c r="A67" s="11" t="s">
        <v>435</v>
      </c>
      <c r="B67" s="17">
        <v>0</v>
      </c>
      <c r="C67" s="17">
        <v>3.58</v>
      </c>
      <c r="D67" s="17">
        <v>4.32</v>
      </c>
      <c r="E67" s="17">
        <v>0</v>
      </c>
      <c r="F67" s="17">
        <v>1.29</v>
      </c>
      <c r="G67" s="22">
        <f t="shared" si="1"/>
        <v>9.1900000000000013</v>
      </c>
      <c r="H67" s="11" t="s">
        <v>349</v>
      </c>
      <c r="I67" s="24" t="str">
        <f>IFERROR(VLOOKUP($H67,'[1]Actual &amp; PO  Analysis 2020'!$A$4:$BJ$300,62,0),"")</f>
        <v/>
      </c>
      <c r="J67" s="24" t="str">
        <f>IFERROR(VLOOKUP($H67,'[1]Actual &amp; PO  Analysis 2020'!$A$4:$BP$300,68,0),"")</f>
        <v/>
      </c>
      <c r="K67" s="24" t="str">
        <f>IFERROR(VLOOKUP($H67,'[1]Actual &amp; PO  Analysis 2020'!$A$4:$BV$300,74,0),"")</f>
        <v/>
      </c>
      <c r="L67" s="24" t="str">
        <f>IFERROR(VLOOKUP($H67,'[1]Actual &amp; PO  Analysis 2020'!$A$4:$CB$300,80,0),"")</f>
        <v/>
      </c>
      <c r="M67" s="24" t="str">
        <f>IFERROR(VLOOKUP($H67,'[1]Actual &amp; PO  Analysis 2020'!$A$4:$CH$300,86,0),"")</f>
        <v/>
      </c>
      <c r="N67" s="25">
        <v>0</v>
      </c>
    </row>
    <row r="68" spans="1:14" x14ac:dyDescent="0.25">
      <c r="A68" s="11" t="s">
        <v>366</v>
      </c>
      <c r="B68" s="17">
        <v>0</v>
      </c>
      <c r="C68" s="17">
        <v>0.626</v>
      </c>
      <c r="D68" s="17">
        <v>1.7389999999999999</v>
      </c>
      <c r="E68" s="17">
        <v>9.1999999999999998E-2</v>
      </c>
      <c r="F68" s="17">
        <v>0.54300000000000004</v>
      </c>
      <c r="G68" s="22">
        <f t="shared" si="1"/>
        <v>3</v>
      </c>
      <c r="H68" s="11" t="s">
        <v>289</v>
      </c>
      <c r="I68" s="24" t="str">
        <f>IFERROR(VLOOKUP($H68,'[1]Actual &amp; PO  Analysis 2020'!$A$4:$BJ$300,62,0),"")</f>
        <v/>
      </c>
      <c r="J68" s="24" t="str">
        <f>IFERROR(VLOOKUP($H68,'[1]Actual &amp; PO  Analysis 2020'!$A$4:$BP$300,68,0),"")</f>
        <v/>
      </c>
      <c r="K68" s="24" t="str">
        <f>IFERROR(VLOOKUP($H68,'[1]Actual &amp; PO  Analysis 2020'!$A$4:$BV$300,74,0),"")</f>
        <v/>
      </c>
      <c r="L68" s="24" t="str">
        <f>IFERROR(VLOOKUP($H68,'[1]Actual &amp; PO  Analysis 2020'!$A$4:$CB$300,80,0),"")</f>
        <v/>
      </c>
      <c r="M68" s="24" t="str">
        <f>IFERROR(VLOOKUP($H68,'[1]Actual &amp; PO  Analysis 2020'!$A$4:$CH$300,86,0),"")</f>
        <v/>
      </c>
      <c r="N68" s="25">
        <v>0</v>
      </c>
    </row>
    <row r="69" spans="1:14" x14ac:dyDescent="0.25">
      <c r="A69" s="11" t="s">
        <v>387</v>
      </c>
      <c r="B69" s="17">
        <v>0</v>
      </c>
      <c r="C69" s="17">
        <v>3.21</v>
      </c>
      <c r="D69" s="17">
        <v>3</v>
      </c>
      <c r="E69" s="17">
        <v>0.1</v>
      </c>
      <c r="F69" s="17">
        <v>0.84</v>
      </c>
      <c r="G69" s="22">
        <f t="shared" si="1"/>
        <v>7.1499999999999995</v>
      </c>
      <c r="H69" s="11" t="s">
        <v>290</v>
      </c>
      <c r="I69" s="24" t="str">
        <f>IFERROR(VLOOKUP($H69,'[1]Actual &amp; PO  Analysis 2020'!$A$4:$BJ$300,62,0),"")</f>
        <v/>
      </c>
      <c r="J69" s="24" t="str">
        <f>IFERROR(VLOOKUP($H69,'[1]Actual &amp; PO  Analysis 2020'!$A$4:$BP$300,68,0),"")</f>
        <v/>
      </c>
      <c r="K69" s="24" t="str">
        <f>IFERROR(VLOOKUP($H69,'[1]Actual &amp; PO  Analysis 2020'!$A$4:$BV$300,74,0),"")</f>
        <v/>
      </c>
      <c r="L69" s="24" t="str">
        <f>IFERROR(VLOOKUP($H69,'[1]Actual &amp; PO  Analysis 2020'!$A$4:$CB$300,80,0),"")</f>
        <v/>
      </c>
      <c r="M69" s="24" t="str">
        <f>IFERROR(VLOOKUP($H69,'[1]Actual &amp; PO  Analysis 2020'!$A$4:$CH$300,86,0),"")</f>
        <v/>
      </c>
      <c r="N69" s="25">
        <v>0</v>
      </c>
    </row>
    <row r="70" spans="1:14" x14ac:dyDescent="0.25">
      <c r="A70" s="11" t="s">
        <v>367</v>
      </c>
      <c r="B70" s="17">
        <v>0</v>
      </c>
      <c r="C70" s="17">
        <v>0</v>
      </c>
      <c r="D70" s="17">
        <v>0</v>
      </c>
      <c r="E70" s="17">
        <v>0</v>
      </c>
      <c r="F70" s="17">
        <v>0</v>
      </c>
      <c r="G70" s="22">
        <f t="shared" si="1"/>
        <v>0</v>
      </c>
      <c r="H70" s="11" t="s">
        <v>392</v>
      </c>
      <c r="I70" s="24" t="str">
        <f>IFERROR(VLOOKUP($H70,'[1]Actual &amp; PO  Analysis 2020'!$A$4:$BJ$300,62,0),"")</f>
        <v>0</v>
      </c>
      <c r="J70" s="24">
        <f>IFERROR(VLOOKUP($H70,'[1]Actual &amp; PO  Analysis 2020'!$A$4:$BP$300,68,0),"")</f>
        <v>3.9598</v>
      </c>
      <c r="K70" s="24">
        <f>IFERROR(VLOOKUP($H70,'[1]Actual &amp; PO  Analysis 2020'!$A$4:$BV$300,74,0),"")</f>
        <v>4.1328000000000005</v>
      </c>
      <c r="L70" s="24">
        <f>IFERROR(VLOOKUP($H70,'[1]Actual &amp; PO  Analysis 2020'!$A$4:$CB$300,80,0),"")</f>
        <v>0.18049999999999999</v>
      </c>
      <c r="M70" s="24">
        <f>IFERROR(VLOOKUP($H70,'[1]Actual &amp; PO  Analysis 2020'!$A$4:$CH$300,86,0),"")</f>
        <v>2.1868333333333334</v>
      </c>
      <c r="N70" s="25">
        <v>10.774666666666667</v>
      </c>
    </row>
    <row r="71" spans="1:14" x14ac:dyDescent="0.25">
      <c r="A71" s="11" t="s">
        <v>414</v>
      </c>
      <c r="B71" s="17">
        <v>0</v>
      </c>
      <c r="C71" s="17">
        <v>5.4</v>
      </c>
      <c r="D71" s="17">
        <v>4.13</v>
      </c>
      <c r="E71" s="17">
        <v>0</v>
      </c>
      <c r="F71" s="17">
        <v>1.06</v>
      </c>
      <c r="G71" s="22">
        <f t="shared" si="1"/>
        <v>10.590000000000002</v>
      </c>
      <c r="H71" s="11" t="s">
        <v>435</v>
      </c>
      <c r="I71" s="24" t="str">
        <f>IFERROR(VLOOKUP($H71,'[1]Actual &amp; PO  Analysis 2020'!$A$4:$BJ$300,62,0),"")</f>
        <v>0</v>
      </c>
      <c r="J71" s="24">
        <f>IFERROR(VLOOKUP($H71,'[1]Actual &amp; PO  Analysis 2020'!$A$4:$BP$300,68,0),"")</f>
        <v>5.4161999999999999</v>
      </c>
      <c r="K71" s="24">
        <f>IFERROR(VLOOKUP($H71,'[1]Actual &amp; PO  Analysis 2020'!$A$4:$BV$300,74,0),"")</f>
        <v>3.3909999999999996</v>
      </c>
      <c r="L71" s="24">
        <f>IFERROR(VLOOKUP($H71,'[1]Actual &amp; PO  Analysis 2020'!$A$4:$CB$300,80,0),"")</f>
        <v>0.16120000000000001</v>
      </c>
      <c r="M71" s="24">
        <f>IFERROR(VLOOKUP($H71,'[1]Actual &amp; PO  Analysis 2020'!$A$4:$CH$300,86,0),"")</f>
        <v>1.6733999999999998</v>
      </c>
      <c r="N71" s="25">
        <v>10.76675</v>
      </c>
    </row>
    <row r="72" spans="1:14" x14ac:dyDescent="0.25">
      <c r="A72" s="11" t="s">
        <v>415</v>
      </c>
      <c r="B72" s="17">
        <v>0</v>
      </c>
      <c r="C72" s="17">
        <v>4.97</v>
      </c>
      <c r="D72" s="17">
        <v>5.52</v>
      </c>
      <c r="E72" s="17">
        <v>0.1</v>
      </c>
      <c r="F72" s="17">
        <v>1.53</v>
      </c>
      <c r="G72" s="22">
        <f t="shared" si="1"/>
        <v>12.119999999999997</v>
      </c>
      <c r="H72" s="11" t="s">
        <v>366</v>
      </c>
      <c r="I72" s="24" t="str">
        <f>IFERROR(VLOOKUP($H72,'[1]Actual &amp; PO  Analysis 2020'!$A$4:$BJ$300,62,0),"")</f>
        <v/>
      </c>
      <c r="J72" s="24" t="str">
        <f>IFERROR(VLOOKUP($H72,'[1]Actual &amp; PO  Analysis 2020'!$A$4:$BP$300,68,0),"")</f>
        <v/>
      </c>
      <c r="K72" s="24" t="str">
        <f>IFERROR(VLOOKUP($H72,'[1]Actual &amp; PO  Analysis 2020'!$A$4:$BV$300,74,0),"")</f>
        <v/>
      </c>
      <c r="L72" s="24" t="str">
        <f>IFERROR(VLOOKUP($H72,'[1]Actual &amp; PO  Analysis 2020'!$A$4:$CB$300,80,0),"")</f>
        <v/>
      </c>
      <c r="M72" s="24" t="str">
        <f>IFERROR(VLOOKUP($H72,'[1]Actual &amp; PO  Analysis 2020'!$A$4:$CH$300,86,0),"")</f>
        <v/>
      </c>
      <c r="N72" s="25">
        <v>0</v>
      </c>
    </row>
    <row r="73" spans="1:14" x14ac:dyDescent="0.25">
      <c r="A73" s="11" t="s">
        <v>416</v>
      </c>
      <c r="B73" s="17">
        <v>0</v>
      </c>
      <c r="C73" s="17">
        <v>4.87</v>
      </c>
      <c r="D73" s="17">
        <v>6.02</v>
      </c>
      <c r="E73" s="17">
        <v>0.1</v>
      </c>
      <c r="F73" s="17">
        <v>1.53</v>
      </c>
      <c r="G73" s="22">
        <f t="shared" si="1"/>
        <v>12.52</v>
      </c>
      <c r="H73" s="11" t="s">
        <v>387</v>
      </c>
      <c r="I73" s="24" t="str">
        <f>IFERROR(VLOOKUP($H73,'[1]Actual &amp; PO  Analysis 2020'!$A$4:$BJ$300,62,0),"")</f>
        <v/>
      </c>
      <c r="J73" s="24" t="str">
        <f>IFERROR(VLOOKUP($H73,'[1]Actual &amp; PO  Analysis 2020'!$A$4:$BP$300,68,0),"")</f>
        <v/>
      </c>
      <c r="K73" s="24" t="str">
        <f>IFERROR(VLOOKUP($H73,'[1]Actual &amp; PO  Analysis 2020'!$A$4:$BV$300,74,0),"")</f>
        <v/>
      </c>
      <c r="L73" s="24" t="str">
        <f>IFERROR(VLOOKUP($H73,'[1]Actual &amp; PO  Analysis 2020'!$A$4:$CB$300,80,0),"")</f>
        <v/>
      </c>
      <c r="M73" s="24" t="str">
        <f>IFERROR(VLOOKUP($H73,'[1]Actual &amp; PO  Analysis 2020'!$A$4:$CH$300,86,0),"")</f>
        <v/>
      </c>
      <c r="N73" s="25">
        <v>0</v>
      </c>
    </row>
    <row r="74" spans="1:14" x14ac:dyDescent="0.25">
      <c r="A74" s="11" t="s">
        <v>424</v>
      </c>
      <c r="B74" s="17">
        <v>0</v>
      </c>
      <c r="C74" s="17">
        <v>20.399999999999999</v>
      </c>
      <c r="D74" s="17">
        <v>4.33</v>
      </c>
      <c r="E74" s="17">
        <v>0.25</v>
      </c>
      <c r="F74" s="17">
        <v>1.02</v>
      </c>
      <c r="G74" s="22">
        <f t="shared" si="1"/>
        <v>25.999999999999996</v>
      </c>
      <c r="H74" s="11" t="s">
        <v>367</v>
      </c>
      <c r="I74" s="24" t="str">
        <f>IFERROR(VLOOKUP($H74,'[1]Actual &amp; PO  Analysis 2020'!$A$4:$BJ$300,62,0),"")</f>
        <v/>
      </c>
      <c r="J74" s="24" t="str">
        <f>IFERROR(VLOOKUP($H74,'[1]Actual &amp; PO  Analysis 2020'!$A$4:$BP$300,68,0),"")</f>
        <v/>
      </c>
      <c r="K74" s="24" t="str">
        <f>IFERROR(VLOOKUP($H74,'[1]Actual &amp; PO  Analysis 2020'!$A$4:$BV$300,74,0),"")</f>
        <v/>
      </c>
      <c r="L74" s="24" t="str">
        <f>IFERROR(VLOOKUP($H74,'[1]Actual &amp; PO  Analysis 2020'!$A$4:$CB$300,80,0),"")</f>
        <v/>
      </c>
      <c r="M74" s="24" t="str">
        <f>IFERROR(VLOOKUP($H74,'[1]Actual &amp; PO  Analysis 2020'!$A$4:$CH$300,86,0),"")</f>
        <v/>
      </c>
      <c r="N74" s="25">
        <v>0</v>
      </c>
    </row>
    <row r="75" spans="1:14" x14ac:dyDescent="0.25">
      <c r="A75" s="11" t="s">
        <v>425</v>
      </c>
      <c r="B75" s="17">
        <v>0</v>
      </c>
      <c r="C75" s="17">
        <v>14.57</v>
      </c>
      <c r="D75" s="17">
        <v>5.9499999999999993</v>
      </c>
      <c r="E75" s="17">
        <v>0.12</v>
      </c>
      <c r="F75" s="17">
        <v>1.36</v>
      </c>
      <c r="G75" s="22">
        <f t="shared" si="1"/>
        <v>22</v>
      </c>
      <c r="H75" s="11" t="s">
        <v>414</v>
      </c>
      <c r="I75" s="24" t="str">
        <f>IFERROR(VLOOKUP($H75,'[1]Actual &amp; PO  Analysis 2020'!$A$4:$BJ$300,62,0),"")</f>
        <v>0</v>
      </c>
      <c r="J75" s="24">
        <f>IFERROR(VLOOKUP($H75,'[1]Actual &amp; PO  Analysis 2020'!$A$4:$BP$300,68,0),"")</f>
        <v>1.6600000000000001</v>
      </c>
      <c r="K75" s="24">
        <f>IFERROR(VLOOKUP($H75,'[1]Actual &amp; PO  Analysis 2020'!$A$4:$BV$300,74,0),"")</f>
        <v>4.1020000000000003</v>
      </c>
      <c r="L75" s="24" t="str">
        <f>IFERROR(VLOOKUP($H75,'[1]Actual &amp; PO  Analysis 2020'!$A$4:$CB$300,80,0),"")</f>
        <v>0</v>
      </c>
      <c r="M75" s="24">
        <f>IFERROR(VLOOKUP($H75,'[1]Actual &amp; PO  Analysis 2020'!$A$4:$CH$300,86,0),"")</f>
        <v>4.32</v>
      </c>
      <c r="N75" s="25">
        <v>9.8569999999999993</v>
      </c>
    </row>
    <row r="76" spans="1:14" x14ac:dyDescent="0.25">
      <c r="A76" s="11" t="s">
        <v>430</v>
      </c>
      <c r="B76" s="17">
        <v>0</v>
      </c>
      <c r="C76" s="17">
        <v>3.298</v>
      </c>
      <c r="D76" s="17">
        <v>2.38</v>
      </c>
      <c r="E76" s="17">
        <v>0</v>
      </c>
      <c r="F76" s="17">
        <v>1.3220000000000001</v>
      </c>
      <c r="G76" s="22">
        <f t="shared" si="1"/>
        <v>7</v>
      </c>
      <c r="H76" s="11" t="s">
        <v>415</v>
      </c>
      <c r="I76" s="24" t="str">
        <f>IFERROR(VLOOKUP($H76,'[1]Actual &amp; PO  Analysis 2020'!$A$4:$BJ$300,62,0),"")</f>
        <v>0</v>
      </c>
      <c r="J76" s="24">
        <f>IFERROR(VLOOKUP($H76,'[1]Actual &amp; PO  Analysis 2020'!$A$4:$BP$300,68,0),"")</f>
        <v>1.891</v>
      </c>
      <c r="K76" s="24">
        <f>IFERROR(VLOOKUP($H76,'[1]Actual &amp; PO  Analysis 2020'!$A$4:$BV$300,74,0),"")</f>
        <v>6.0555000000000003</v>
      </c>
      <c r="L76" s="24" t="str">
        <f>IFERROR(VLOOKUP($H76,'[1]Actual &amp; PO  Analysis 2020'!$A$4:$CB$300,80,0),"")</f>
        <v>0</v>
      </c>
      <c r="M76" s="24">
        <f>IFERROR(VLOOKUP($H76,'[1]Actual &amp; PO  Analysis 2020'!$A$4:$CH$300,86,0),"")</f>
        <v>4.2725</v>
      </c>
      <c r="N76" s="25">
        <v>12.539</v>
      </c>
    </row>
    <row r="77" spans="1:14" x14ac:dyDescent="0.25">
      <c r="A77" s="11" t="s">
        <v>320</v>
      </c>
      <c r="B77" s="17">
        <v>0</v>
      </c>
      <c r="C77" s="17">
        <v>4.13</v>
      </c>
      <c r="D77" s="17">
        <v>1.41</v>
      </c>
      <c r="E77" s="17">
        <v>0</v>
      </c>
      <c r="F77" s="17">
        <v>0.56999999999999995</v>
      </c>
      <c r="G77" s="22">
        <f t="shared" si="1"/>
        <v>6.11</v>
      </c>
      <c r="H77" s="11" t="s">
        <v>416</v>
      </c>
      <c r="I77" s="24">
        <f>IFERROR(VLOOKUP($H77,'[1]Actual &amp; PO  Analysis 2020'!$A$4:$BJ$300,62,0),"")</f>
        <v>0</v>
      </c>
      <c r="J77" s="24">
        <f>IFERROR(VLOOKUP($H77,'[1]Actual &amp; PO  Analysis 2020'!$A$4:$BP$300,68,0),"")</f>
        <v>0</v>
      </c>
      <c r="K77" s="24">
        <f>IFERROR(VLOOKUP($H77,'[1]Actual &amp; PO  Analysis 2020'!$A$4:$BV$300,74,0),"")</f>
        <v>0</v>
      </c>
      <c r="L77" s="24">
        <f>IFERROR(VLOOKUP($H77,'[1]Actual &amp; PO  Analysis 2020'!$A$4:$CB$300,80,0),"")</f>
        <v>0</v>
      </c>
      <c r="M77" s="24">
        <f>IFERROR(VLOOKUP($H77,'[1]Actual &amp; PO  Analysis 2020'!$A$4:$CH$300,86,0),"")</f>
        <v>0</v>
      </c>
      <c r="N77" s="25">
        <v>0</v>
      </c>
    </row>
    <row r="78" spans="1:14" x14ac:dyDescent="0.25">
      <c r="A78" s="11" t="s">
        <v>22</v>
      </c>
      <c r="B78" s="17">
        <v>0</v>
      </c>
      <c r="C78" s="17">
        <v>6.673</v>
      </c>
      <c r="D78" s="17">
        <v>5.5819999999999999</v>
      </c>
      <c r="E78" s="17">
        <v>0.1</v>
      </c>
      <c r="F78" s="17">
        <v>1.333</v>
      </c>
      <c r="G78" s="22">
        <f t="shared" si="1"/>
        <v>13.687999999999999</v>
      </c>
      <c r="H78" s="11" t="s">
        <v>424</v>
      </c>
      <c r="I78" s="24" t="str">
        <f>IFERROR(VLOOKUP($H78,'[1]Actual &amp; PO  Analysis 2020'!$A$4:$BJ$300,62,0),"")</f>
        <v>0</v>
      </c>
      <c r="J78" s="24">
        <f>IFERROR(VLOOKUP($H78,'[1]Actual &amp; PO  Analysis 2020'!$A$4:$BP$300,68,0),"")</f>
        <v>10.748250000000001</v>
      </c>
      <c r="K78" s="24">
        <f>IFERROR(VLOOKUP($H78,'[1]Actual &amp; PO  Analysis 2020'!$A$4:$BV$300,74,0),"")</f>
        <v>6.5083333333333329</v>
      </c>
      <c r="L78" s="24">
        <f>IFERROR(VLOOKUP($H78,'[1]Actual &amp; PO  Analysis 2020'!$A$4:$CB$300,80,0),"")</f>
        <v>0.19000000000000003</v>
      </c>
      <c r="M78" s="24">
        <f>IFERROR(VLOOKUP($H78,'[1]Actual &amp; PO  Analysis 2020'!$A$4:$CH$300,86,0),"")</f>
        <v>1.8980000000000004</v>
      </c>
      <c r="N78" s="25">
        <v>19.241499999999998</v>
      </c>
    </row>
    <row r="79" spans="1:14" x14ac:dyDescent="0.25">
      <c r="A79" s="11" t="s">
        <v>160</v>
      </c>
      <c r="B79" s="17">
        <v>0</v>
      </c>
      <c r="C79" s="17">
        <v>2.7610000000000001</v>
      </c>
      <c r="D79" s="17">
        <v>2.7930000000000001</v>
      </c>
      <c r="E79" s="17">
        <v>0.153</v>
      </c>
      <c r="F79" s="17">
        <v>1.1040000000000001</v>
      </c>
      <c r="G79" s="22">
        <f t="shared" si="1"/>
        <v>6.8109999999999999</v>
      </c>
      <c r="H79" s="11" t="s">
        <v>425</v>
      </c>
      <c r="I79" s="24" t="str">
        <f>IFERROR(VLOOKUP($H79,'[1]Actual &amp; PO  Analysis 2020'!$A$4:$BJ$300,62,0),"")</f>
        <v/>
      </c>
      <c r="J79" s="24" t="str">
        <f>IFERROR(VLOOKUP($H79,'[1]Actual &amp; PO  Analysis 2020'!$A$4:$BP$300,68,0),"")</f>
        <v/>
      </c>
      <c r="K79" s="24" t="str">
        <f>IFERROR(VLOOKUP($H79,'[1]Actual &amp; PO  Analysis 2020'!$A$4:$BV$300,74,0),"")</f>
        <v/>
      </c>
      <c r="L79" s="24" t="str">
        <f>IFERROR(VLOOKUP($H79,'[1]Actual &amp; PO  Analysis 2020'!$A$4:$CB$300,80,0),"")</f>
        <v/>
      </c>
      <c r="M79" s="24" t="str">
        <f>IFERROR(VLOOKUP($H79,'[1]Actual &amp; PO  Analysis 2020'!$A$4:$CH$300,86,0),"")</f>
        <v/>
      </c>
      <c r="N79" s="25">
        <v>0</v>
      </c>
    </row>
    <row r="80" spans="1:14" x14ac:dyDescent="0.25">
      <c r="A80" s="11" t="s">
        <v>325</v>
      </c>
      <c r="B80" s="17">
        <v>0</v>
      </c>
      <c r="C80" s="17">
        <v>6.75</v>
      </c>
      <c r="D80" s="17">
        <v>1.23</v>
      </c>
      <c r="E80" s="17">
        <v>0</v>
      </c>
      <c r="F80" s="17">
        <v>1.19</v>
      </c>
      <c r="G80" s="22">
        <f t="shared" si="1"/>
        <v>9.17</v>
      </c>
      <c r="H80" s="11" t="s">
        <v>430</v>
      </c>
      <c r="I80" s="24" t="str">
        <f>IFERROR(VLOOKUP($H80,'[1]Actual &amp; PO  Analysis 2020'!$A$4:$BJ$300,62,0),"")</f>
        <v/>
      </c>
      <c r="J80" s="24" t="str">
        <f>IFERROR(VLOOKUP($H80,'[1]Actual &amp; PO  Analysis 2020'!$A$4:$BP$300,68,0),"")</f>
        <v/>
      </c>
      <c r="K80" s="24" t="str">
        <f>IFERROR(VLOOKUP($H80,'[1]Actual &amp; PO  Analysis 2020'!$A$4:$BV$300,74,0),"")</f>
        <v/>
      </c>
      <c r="L80" s="24" t="str">
        <f>IFERROR(VLOOKUP($H80,'[1]Actual &amp; PO  Analysis 2020'!$A$4:$CB$300,80,0),"")</f>
        <v/>
      </c>
      <c r="M80" s="24" t="str">
        <f>IFERROR(VLOOKUP($H80,'[1]Actual &amp; PO  Analysis 2020'!$A$4:$CH$300,86,0),"")</f>
        <v/>
      </c>
      <c r="N80" s="25">
        <v>0</v>
      </c>
    </row>
    <row r="81" spans="1:14" x14ac:dyDescent="0.25">
      <c r="A81" s="11" t="s">
        <v>302</v>
      </c>
      <c r="B81" s="17">
        <v>0</v>
      </c>
      <c r="C81" s="17">
        <v>3.6</v>
      </c>
      <c r="D81" s="17">
        <v>3.89</v>
      </c>
      <c r="E81" s="17">
        <v>0.1</v>
      </c>
      <c r="F81" s="17">
        <v>1.19</v>
      </c>
      <c r="G81" s="22">
        <f t="shared" si="1"/>
        <v>8.7799999999999994</v>
      </c>
      <c r="H81" s="11" t="s">
        <v>320</v>
      </c>
      <c r="I81" s="24" t="str">
        <f>IFERROR(VLOOKUP($H81,'[1]Actual &amp; PO  Analysis 2020'!$A$4:$BJ$300,62,0),"")</f>
        <v/>
      </c>
      <c r="J81" s="24" t="str">
        <f>IFERROR(VLOOKUP($H81,'[1]Actual &amp; PO  Analysis 2020'!$A$4:$BP$300,68,0),"")</f>
        <v/>
      </c>
      <c r="K81" s="24" t="str">
        <f>IFERROR(VLOOKUP($H81,'[1]Actual &amp; PO  Analysis 2020'!$A$4:$BV$300,74,0),"")</f>
        <v/>
      </c>
      <c r="L81" s="24" t="str">
        <f>IFERROR(VLOOKUP($H81,'[1]Actual &amp; PO  Analysis 2020'!$A$4:$CB$300,80,0),"")</f>
        <v/>
      </c>
      <c r="M81" s="24" t="str">
        <f>IFERROR(VLOOKUP($H81,'[1]Actual &amp; PO  Analysis 2020'!$A$4:$CH$300,86,0),"")</f>
        <v/>
      </c>
      <c r="N81" s="25">
        <v>0</v>
      </c>
    </row>
    <row r="82" spans="1:14" x14ac:dyDescent="0.25">
      <c r="A82" s="11" t="s">
        <v>404</v>
      </c>
      <c r="B82" s="17">
        <v>0</v>
      </c>
      <c r="C82" s="17">
        <v>2.4</v>
      </c>
      <c r="D82" s="17">
        <v>2</v>
      </c>
      <c r="E82" s="17">
        <v>0</v>
      </c>
      <c r="F82" s="17">
        <v>0.83199999999999996</v>
      </c>
      <c r="G82" s="22">
        <f t="shared" si="1"/>
        <v>5.2320000000000002</v>
      </c>
      <c r="H82" s="11" t="s">
        <v>22</v>
      </c>
      <c r="I82" s="24" t="str">
        <f>IFERROR(VLOOKUP($H82,'[1]Actual &amp; PO  Analysis 2020'!$A$4:$BJ$300,62,0),"")</f>
        <v>0</v>
      </c>
      <c r="J82" s="24">
        <f>IFERROR(VLOOKUP($H82,'[1]Actual &amp; PO  Analysis 2020'!$A$4:$BP$300,68,0),"")</f>
        <v>5.2569999999999997</v>
      </c>
      <c r="K82" s="24">
        <f>IFERROR(VLOOKUP($H82,'[1]Actual &amp; PO  Analysis 2020'!$A$4:$BV$300,74,0),"")</f>
        <v>5.4690000000000003</v>
      </c>
      <c r="L82" s="24">
        <f>IFERROR(VLOOKUP($H82,'[1]Actual &amp; PO  Analysis 2020'!$A$4:$CB$300,80,0),"")</f>
        <v>0.23300000000000001</v>
      </c>
      <c r="M82" s="24">
        <f>IFERROR(VLOOKUP($H82,'[1]Actual &amp; PO  Analysis 2020'!$A$4:$CH$300,86,0),"")</f>
        <v>2.2429999999999999</v>
      </c>
      <c r="N82" s="25">
        <v>13.202</v>
      </c>
    </row>
    <row r="83" spans="1:14" x14ac:dyDescent="0.25">
      <c r="A83" s="11" t="s">
        <v>26</v>
      </c>
      <c r="B83" s="17">
        <v>0</v>
      </c>
      <c r="C83" s="17">
        <v>3.2</v>
      </c>
      <c r="D83" s="17">
        <v>8.67</v>
      </c>
      <c r="E83" s="17">
        <v>0.1</v>
      </c>
      <c r="F83" s="17">
        <v>1.44</v>
      </c>
      <c r="G83" s="22">
        <f t="shared" si="1"/>
        <v>13.41</v>
      </c>
      <c r="H83" s="11" t="s">
        <v>160</v>
      </c>
      <c r="I83" s="24" t="str">
        <f>IFERROR(VLOOKUP($H83,'[1]Actual &amp; PO  Analysis 2020'!$A$4:$BJ$300,62,0),"")</f>
        <v/>
      </c>
      <c r="J83" s="24" t="str">
        <f>IFERROR(VLOOKUP($H83,'[1]Actual &amp; PO  Analysis 2020'!$A$4:$BP$300,68,0),"")</f>
        <v/>
      </c>
      <c r="K83" s="24" t="str">
        <f>IFERROR(VLOOKUP($H83,'[1]Actual &amp; PO  Analysis 2020'!$A$4:$BV$300,74,0),"")</f>
        <v/>
      </c>
      <c r="L83" s="24" t="str">
        <f>IFERROR(VLOOKUP($H83,'[1]Actual &amp; PO  Analysis 2020'!$A$4:$CB$300,80,0),"")</f>
        <v/>
      </c>
      <c r="M83" s="24" t="str">
        <f>IFERROR(VLOOKUP($H83,'[1]Actual &amp; PO  Analysis 2020'!$A$4:$CH$300,86,0),"")</f>
        <v/>
      </c>
      <c r="N83" s="25">
        <v>0</v>
      </c>
    </row>
    <row r="84" spans="1:14" x14ac:dyDescent="0.25">
      <c r="A84" s="11" t="s">
        <v>353</v>
      </c>
      <c r="B84" s="17">
        <v>0</v>
      </c>
      <c r="C84" s="17">
        <v>2.2309999999999999</v>
      </c>
      <c r="D84" s="17">
        <v>2.2309999999999999</v>
      </c>
      <c r="E84" s="17">
        <v>0.106</v>
      </c>
      <c r="F84" s="17">
        <v>0.72199999999999998</v>
      </c>
      <c r="G84" s="22">
        <f t="shared" si="1"/>
        <v>5.2899999999999991</v>
      </c>
      <c r="H84" s="11" t="s">
        <v>325</v>
      </c>
      <c r="I84" s="24" t="str">
        <f>IFERROR(VLOOKUP($H84,'[1]Actual &amp; PO  Analysis 2020'!$A$4:$BJ$300,62,0),"")</f>
        <v/>
      </c>
      <c r="J84" s="24" t="str">
        <f>IFERROR(VLOOKUP($H84,'[1]Actual &amp; PO  Analysis 2020'!$A$4:$BP$300,68,0),"")</f>
        <v/>
      </c>
      <c r="K84" s="24" t="str">
        <f>IFERROR(VLOOKUP($H84,'[1]Actual &amp; PO  Analysis 2020'!$A$4:$BV$300,74,0),"")</f>
        <v/>
      </c>
      <c r="L84" s="24" t="str">
        <f>IFERROR(VLOOKUP($H84,'[1]Actual &amp; PO  Analysis 2020'!$A$4:$CB$300,80,0),"")</f>
        <v/>
      </c>
      <c r="M84" s="24" t="str">
        <f>IFERROR(VLOOKUP($H84,'[1]Actual &amp; PO  Analysis 2020'!$A$4:$CH$300,86,0),"")</f>
        <v/>
      </c>
      <c r="N84" s="25">
        <v>0</v>
      </c>
    </row>
    <row r="85" spans="1:14" x14ac:dyDescent="0.25">
      <c r="A85" s="11" t="s">
        <v>434</v>
      </c>
      <c r="B85" s="17">
        <v>0</v>
      </c>
      <c r="C85" s="17">
        <v>0.75</v>
      </c>
      <c r="D85" s="17">
        <v>1.45</v>
      </c>
      <c r="E85" s="17">
        <v>0</v>
      </c>
      <c r="F85" s="17">
        <v>0.57999999999999996</v>
      </c>
      <c r="G85" s="22">
        <f t="shared" si="1"/>
        <v>2.7800000000000002</v>
      </c>
      <c r="H85" s="11" t="s">
        <v>302</v>
      </c>
      <c r="I85" s="24" t="str">
        <f>IFERROR(VLOOKUP($H85,'[1]Actual &amp; PO  Analysis 2020'!$A$4:$BJ$300,62,0),"")</f>
        <v/>
      </c>
      <c r="J85" s="24" t="str">
        <f>IFERROR(VLOOKUP($H85,'[1]Actual &amp; PO  Analysis 2020'!$A$4:$BP$300,68,0),"")</f>
        <v/>
      </c>
      <c r="K85" s="24" t="str">
        <f>IFERROR(VLOOKUP($H85,'[1]Actual &amp; PO  Analysis 2020'!$A$4:$BV$300,74,0),"")</f>
        <v/>
      </c>
      <c r="L85" s="24" t="str">
        <f>IFERROR(VLOOKUP($H85,'[1]Actual &amp; PO  Analysis 2020'!$A$4:$CB$300,80,0),"")</f>
        <v/>
      </c>
      <c r="M85" s="24" t="str">
        <f>IFERROR(VLOOKUP($H85,'[1]Actual &amp; PO  Analysis 2020'!$A$4:$CH$300,86,0),"")</f>
        <v/>
      </c>
      <c r="N85" s="25">
        <v>0</v>
      </c>
    </row>
    <row r="86" spans="1:14" x14ac:dyDescent="0.25">
      <c r="A86" s="11" t="s">
        <v>458</v>
      </c>
      <c r="B86" s="17">
        <v>0</v>
      </c>
      <c r="C86" s="17">
        <v>0.97</v>
      </c>
      <c r="D86" s="17">
        <v>1.93</v>
      </c>
      <c r="E86" s="17">
        <v>0</v>
      </c>
      <c r="F86" s="17">
        <v>1.1499999999999999</v>
      </c>
      <c r="G86" s="22">
        <f t="shared" si="1"/>
        <v>4.05</v>
      </c>
      <c r="H86" s="11" t="s">
        <v>404</v>
      </c>
      <c r="I86" s="24" t="str">
        <f>IFERROR(VLOOKUP($H86,'[1]Actual &amp; PO  Analysis 2020'!$A$4:$BJ$300,62,0),"")</f>
        <v/>
      </c>
      <c r="J86" s="24" t="str">
        <f>IFERROR(VLOOKUP($H86,'[1]Actual &amp; PO  Analysis 2020'!$A$4:$BP$300,68,0),"")</f>
        <v/>
      </c>
      <c r="K86" s="24" t="str">
        <f>IFERROR(VLOOKUP($H86,'[1]Actual &amp; PO  Analysis 2020'!$A$4:$BV$300,74,0),"")</f>
        <v/>
      </c>
      <c r="L86" s="24" t="str">
        <f>IFERROR(VLOOKUP($H86,'[1]Actual &amp; PO  Analysis 2020'!$A$4:$CB$300,80,0),"")</f>
        <v/>
      </c>
      <c r="M86" s="24" t="str">
        <f>IFERROR(VLOOKUP($H86,'[1]Actual &amp; PO  Analysis 2020'!$A$4:$CH$300,86,0),"")</f>
        <v/>
      </c>
      <c r="N86" s="25">
        <v>0</v>
      </c>
    </row>
    <row r="87" spans="1:14" x14ac:dyDescent="0.25">
      <c r="A87" s="11" t="s">
        <v>460</v>
      </c>
      <c r="B87" s="17">
        <v>0</v>
      </c>
      <c r="C87" s="17">
        <v>1.19</v>
      </c>
      <c r="D87" s="17">
        <v>5.09</v>
      </c>
      <c r="E87" s="17">
        <v>0</v>
      </c>
      <c r="F87" s="17">
        <v>2.42</v>
      </c>
      <c r="G87" s="22">
        <f t="shared" si="1"/>
        <v>8.6999999999999993</v>
      </c>
      <c r="H87" s="11" t="s">
        <v>26</v>
      </c>
      <c r="I87" s="24" t="str">
        <f>IFERROR(VLOOKUP($H87,'[1]Actual &amp; PO  Analysis 2020'!$A$4:$BJ$300,62,0),"")</f>
        <v/>
      </c>
      <c r="J87" s="24" t="str">
        <f>IFERROR(VLOOKUP($H87,'[1]Actual &amp; PO  Analysis 2020'!$A$4:$BP$300,68,0),"")</f>
        <v/>
      </c>
      <c r="K87" s="24" t="str">
        <f>IFERROR(VLOOKUP($H87,'[1]Actual &amp; PO  Analysis 2020'!$A$4:$BV$300,74,0),"")</f>
        <v/>
      </c>
      <c r="L87" s="24" t="str">
        <f>IFERROR(VLOOKUP($H87,'[1]Actual &amp; PO  Analysis 2020'!$A$4:$CB$300,80,0),"")</f>
        <v/>
      </c>
      <c r="M87" s="24" t="str">
        <f>IFERROR(VLOOKUP($H87,'[1]Actual &amp; PO  Analysis 2020'!$A$4:$CH$300,86,0),"")</f>
        <v/>
      </c>
      <c r="N87" s="25">
        <v>0</v>
      </c>
    </row>
    <row r="88" spans="1:14" x14ac:dyDescent="0.25">
      <c r="A88" s="11" t="s">
        <v>445</v>
      </c>
      <c r="B88" s="17">
        <v>0</v>
      </c>
      <c r="C88" s="17">
        <v>1.3</v>
      </c>
      <c r="D88" s="17">
        <v>1.8599999999999999</v>
      </c>
      <c r="E88" s="17">
        <v>0</v>
      </c>
      <c r="F88" s="17">
        <v>0.8</v>
      </c>
      <c r="G88" s="22">
        <f t="shared" si="1"/>
        <v>3.96</v>
      </c>
      <c r="H88" s="11" t="s">
        <v>353</v>
      </c>
      <c r="I88" s="24" t="str">
        <f>IFERROR(VLOOKUP($H88,'[1]Actual &amp; PO  Analysis 2020'!$A$4:$BJ$300,62,0),"")</f>
        <v/>
      </c>
      <c r="J88" s="24" t="str">
        <f>IFERROR(VLOOKUP($H88,'[1]Actual &amp; PO  Analysis 2020'!$A$4:$BP$300,68,0),"")</f>
        <v/>
      </c>
      <c r="K88" s="24" t="str">
        <f>IFERROR(VLOOKUP($H88,'[1]Actual &amp; PO  Analysis 2020'!$A$4:$BV$300,74,0),"")</f>
        <v/>
      </c>
      <c r="L88" s="24" t="str">
        <f>IFERROR(VLOOKUP($H88,'[1]Actual &amp; PO  Analysis 2020'!$A$4:$CB$300,80,0),"")</f>
        <v/>
      </c>
      <c r="M88" s="24" t="str">
        <f>IFERROR(VLOOKUP($H88,'[1]Actual &amp; PO  Analysis 2020'!$A$4:$CH$300,86,0),"")</f>
        <v/>
      </c>
      <c r="N88" s="25">
        <v>0</v>
      </c>
    </row>
    <row r="89" spans="1:14" x14ac:dyDescent="0.25">
      <c r="A89" s="11" t="s">
        <v>446</v>
      </c>
      <c r="B89" s="17">
        <v>0</v>
      </c>
      <c r="C89" s="17">
        <v>1.25</v>
      </c>
      <c r="D89" s="17">
        <v>1.8599999999999999</v>
      </c>
      <c r="E89" s="17">
        <v>0</v>
      </c>
      <c r="F89" s="17">
        <v>0.8</v>
      </c>
      <c r="G89" s="22">
        <f t="shared" si="1"/>
        <v>3.91</v>
      </c>
      <c r="H89" s="11" t="s">
        <v>434</v>
      </c>
      <c r="I89" s="24" t="str">
        <f>IFERROR(VLOOKUP($H89,'[1]Actual &amp; PO  Analysis 2020'!$A$4:$BJ$300,62,0),"")</f>
        <v>0</v>
      </c>
      <c r="J89" s="24">
        <f>IFERROR(VLOOKUP($H89,'[1]Actual &amp; PO  Analysis 2020'!$A$4:$BP$300,68,0),"")</f>
        <v>0.91199999999999992</v>
      </c>
      <c r="K89" s="24">
        <f>IFERROR(VLOOKUP($H89,'[1]Actual &amp; PO  Analysis 2020'!$A$4:$BV$300,74,0),"")</f>
        <v>1.569333333333333</v>
      </c>
      <c r="L89" s="24">
        <f>IFERROR(VLOOKUP($H89,'[1]Actual &amp; PO  Analysis 2020'!$A$4:$CB$300,80,0),"")</f>
        <v>0.17550000000000002</v>
      </c>
      <c r="M89" s="24">
        <f>IFERROR(VLOOKUP($H89,'[1]Actual &amp; PO  Analysis 2020'!$A$4:$CH$300,86,0),"")</f>
        <v>0.74799999999999989</v>
      </c>
      <c r="N89" s="25">
        <v>3.4361999999999995</v>
      </c>
    </row>
    <row r="90" spans="1:14" x14ac:dyDescent="0.25">
      <c r="A90" s="11" t="s">
        <v>447</v>
      </c>
      <c r="B90" s="17">
        <v>0</v>
      </c>
      <c r="C90" s="17">
        <v>1.24</v>
      </c>
      <c r="D90" s="17">
        <v>1.8599999999999999</v>
      </c>
      <c r="E90" s="17">
        <v>0</v>
      </c>
      <c r="F90" s="17">
        <v>0.8</v>
      </c>
      <c r="G90" s="22">
        <f t="shared" si="1"/>
        <v>3.8999999999999995</v>
      </c>
      <c r="H90" s="11" t="s">
        <v>458</v>
      </c>
      <c r="I90" s="24" t="str">
        <f>IFERROR(VLOOKUP($H90,'[1]Actual &amp; PO  Analysis 2020'!$A$4:$BJ$300,62,0),"")</f>
        <v>0</v>
      </c>
      <c r="J90" s="24">
        <f>IFERROR(VLOOKUP($H90,'[1]Actual &amp; PO  Analysis 2020'!$A$4:$BP$300,68,0),"")</f>
        <v>1.2431666666666665</v>
      </c>
      <c r="K90" s="24">
        <f>IFERROR(VLOOKUP($H90,'[1]Actual &amp; PO  Analysis 2020'!$A$4:$BV$300,74,0),"")</f>
        <v>3.0148333333333337</v>
      </c>
      <c r="L90" s="24">
        <f>IFERROR(VLOOKUP($H90,'[1]Actual &amp; PO  Analysis 2020'!$A$4:$CB$300,80,0),"")</f>
        <v>0.18283333333333332</v>
      </c>
      <c r="M90" s="24">
        <f>IFERROR(VLOOKUP($H90,'[1]Actual &amp; PO  Analysis 2020'!$A$4:$CH$300,86,0),"")</f>
        <v>1.4896666666666667</v>
      </c>
      <c r="N90" s="25">
        <v>6.1504000000000003</v>
      </c>
    </row>
    <row r="91" spans="1:14" x14ac:dyDescent="0.25">
      <c r="A91" s="11" t="s">
        <v>450</v>
      </c>
      <c r="B91" s="17">
        <v>0</v>
      </c>
      <c r="C91" s="17">
        <v>1.23</v>
      </c>
      <c r="D91" s="17">
        <v>1.8599999999999999</v>
      </c>
      <c r="E91" s="17">
        <v>0</v>
      </c>
      <c r="F91" s="17">
        <v>0.8</v>
      </c>
      <c r="G91" s="22">
        <f t="shared" si="1"/>
        <v>3.8899999999999997</v>
      </c>
      <c r="H91" s="11" t="s">
        <v>460</v>
      </c>
      <c r="I91" s="24" t="str">
        <f>IFERROR(VLOOKUP($H91,'[1]Actual &amp; PO  Analysis 2020'!$A$4:$BJ$300,62,0),"")</f>
        <v>0</v>
      </c>
      <c r="J91" s="24">
        <f>IFERROR(VLOOKUP($H91,'[1]Actual &amp; PO  Analysis 2020'!$A$4:$BP$300,68,0),"")</f>
        <v>0.90359999999999996</v>
      </c>
      <c r="K91" s="24">
        <f>IFERROR(VLOOKUP($H91,'[1]Actual &amp; PO  Analysis 2020'!$A$4:$BV$300,74,0),"")</f>
        <v>4.8323999999999998</v>
      </c>
      <c r="L91" s="24">
        <f>IFERROR(VLOOKUP($H91,'[1]Actual &amp; PO  Analysis 2020'!$A$4:$CB$300,80,0),"")</f>
        <v>0.40775</v>
      </c>
      <c r="M91" s="24">
        <f>IFERROR(VLOOKUP($H91,'[1]Actual &amp; PO  Analysis 2020'!$A$4:$CH$300,86,0),"")</f>
        <v>2.9989999999999997</v>
      </c>
      <c r="N91" s="25">
        <v>8.9235000000000007</v>
      </c>
    </row>
    <row r="92" spans="1:14" x14ac:dyDescent="0.25">
      <c r="A92" s="11" t="s">
        <v>495</v>
      </c>
      <c r="B92" s="17">
        <v>0</v>
      </c>
      <c r="C92" s="17">
        <v>2.93</v>
      </c>
      <c r="D92" s="17">
        <v>4.74</v>
      </c>
      <c r="E92" s="17">
        <v>0</v>
      </c>
      <c r="F92" s="17">
        <v>1.64</v>
      </c>
      <c r="G92" s="22">
        <f t="shared" si="1"/>
        <v>9.31</v>
      </c>
      <c r="H92" s="11" t="s">
        <v>445</v>
      </c>
      <c r="I92" s="24" t="str">
        <f>IFERROR(VLOOKUP($H92,'[1]Actual &amp; PO  Analysis 2020'!$A$4:$BJ$300,62,0),"")</f>
        <v>0</v>
      </c>
      <c r="J92" s="24">
        <f>IFERROR(VLOOKUP($H92,'[1]Actual &amp; PO  Analysis 2020'!$A$4:$BP$300,68,0),"")</f>
        <v>1.6018000000000001</v>
      </c>
      <c r="K92" s="24">
        <f>IFERROR(VLOOKUP($H92,'[1]Actual &amp; PO  Analysis 2020'!$A$4:$BV$300,74,0),"")</f>
        <v>1.4768000000000001</v>
      </c>
      <c r="L92" s="24">
        <f>IFERROR(VLOOKUP($H92,'[1]Actual &amp; PO  Analysis 2020'!$A$4:$CB$300,80,0),"")</f>
        <v>0.17060000000000003</v>
      </c>
      <c r="M92" s="24">
        <f>IFERROR(VLOOKUP($H92,'[1]Actual &amp; PO  Analysis 2020'!$A$4:$CH$300,86,0),"")</f>
        <v>0.92333333333333345</v>
      </c>
      <c r="N92" s="25">
        <v>4.1984000000000004</v>
      </c>
    </row>
    <row r="93" spans="1:14" x14ac:dyDescent="0.25">
      <c r="A93" s="11" t="s">
        <v>491</v>
      </c>
      <c r="B93" s="17">
        <v>0</v>
      </c>
      <c r="C93" s="17">
        <v>2.7300000000000004</v>
      </c>
      <c r="D93" s="17">
        <v>4.13</v>
      </c>
      <c r="E93" s="17">
        <v>0</v>
      </c>
      <c r="F93" s="17">
        <v>1.39</v>
      </c>
      <c r="G93" s="22">
        <f t="shared" si="1"/>
        <v>8.25</v>
      </c>
      <c r="H93" s="11" t="s">
        <v>446</v>
      </c>
      <c r="I93" s="24" t="str">
        <f>IFERROR(VLOOKUP($H93,'[1]Actual &amp; PO  Analysis 2020'!$A$4:$BJ$300,62,0),"")</f>
        <v>0</v>
      </c>
      <c r="J93" s="24">
        <f>IFERROR(VLOOKUP($H93,'[1]Actual &amp; PO  Analysis 2020'!$A$4:$BP$300,68,0),"")</f>
        <v>1.6538333333333333</v>
      </c>
      <c r="K93" s="24">
        <f>IFERROR(VLOOKUP($H93,'[1]Actual &amp; PO  Analysis 2020'!$A$4:$BV$300,74,0),"")</f>
        <v>1.29</v>
      </c>
      <c r="L93" s="24">
        <f>IFERROR(VLOOKUP($H93,'[1]Actual &amp; PO  Analysis 2020'!$A$4:$CB$300,80,0),"")</f>
        <v>0.17649999999999999</v>
      </c>
      <c r="M93" s="24">
        <f>IFERROR(VLOOKUP($H93,'[1]Actual &amp; PO  Analysis 2020'!$A$4:$CH$300,86,0),"")</f>
        <v>0.79983333333333329</v>
      </c>
      <c r="N93" s="25">
        <v>3.9863999999999997</v>
      </c>
    </row>
    <row r="94" spans="1:14" x14ac:dyDescent="0.25">
      <c r="A94" s="11" t="s">
        <v>467</v>
      </c>
      <c r="B94" s="17">
        <v>0</v>
      </c>
      <c r="C94" s="17">
        <v>1.51</v>
      </c>
      <c r="D94" s="17">
        <v>3.04</v>
      </c>
      <c r="E94" s="17">
        <v>0</v>
      </c>
      <c r="F94" s="17">
        <v>1.6</v>
      </c>
      <c r="G94" s="22">
        <f t="shared" si="1"/>
        <v>6.15</v>
      </c>
      <c r="H94" s="11" t="s">
        <v>447</v>
      </c>
      <c r="I94" s="24" t="str">
        <f>IFERROR(VLOOKUP($H94,'[1]Actual &amp; PO  Analysis 2020'!$A$4:$BJ$300,62,0),"")</f>
        <v>0</v>
      </c>
      <c r="J94" s="24">
        <f>IFERROR(VLOOKUP($H94,'[1]Actual &amp; PO  Analysis 2020'!$A$4:$BP$300,68,0),"")</f>
        <v>1.6239999999999999</v>
      </c>
      <c r="K94" s="24">
        <f>IFERROR(VLOOKUP($H94,'[1]Actual &amp; PO  Analysis 2020'!$A$4:$BV$300,74,0),"")</f>
        <v>1.5609999999999999</v>
      </c>
      <c r="L94" s="24">
        <f>IFERROR(VLOOKUP($H94,'[1]Actual &amp; PO  Analysis 2020'!$A$4:$CB$300,80,0),"")</f>
        <v>0.20033333333333334</v>
      </c>
      <c r="M94" s="24">
        <f>IFERROR(VLOOKUP($H94,'[1]Actual &amp; PO  Analysis 2020'!$A$4:$CH$300,86,0),"")</f>
        <v>0.86733333333333329</v>
      </c>
      <c r="N94" s="25">
        <v>4.2526666666666664</v>
      </c>
    </row>
    <row r="95" spans="1:14" x14ac:dyDescent="0.25">
      <c r="A95" s="11" t="s">
        <v>468</v>
      </c>
      <c r="B95" s="17">
        <v>0</v>
      </c>
      <c r="C95" s="17">
        <v>1.51</v>
      </c>
      <c r="D95" s="17">
        <v>3.04</v>
      </c>
      <c r="E95" s="17">
        <v>0</v>
      </c>
      <c r="F95" s="17">
        <v>1.6</v>
      </c>
      <c r="G95" s="22">
        <f t="shared" si="1"/>
        <v>6.15</v>
      </c>
      <c r="H95" s="11" t="s">
        <v>450</v>
      </c>
      <c r="I95" s="24" t="str">
        <f>IFERROR(VLOOKUP($H95,'[1]Actual &amp; PO  Analysis 2020'!$A$4:$BJ$300,62,0),"")</f>
        <v>0</v>
      </c>
      <c r="J95" s="24">
        <f>IFERROR(VLOOKUP($H95,'[1]Actual &amp; PO  Analysis 2020'!$A$4:$BP$300,68,0),"")</f>
        <v>1.736</v>
      </c>
      <c r="K95" s="24">
        <f>IFERROR(VLOOKUP($H95,'[1]Actual &amp; PO  Analysis 2020'!$A$4:$BV$300,74,0),"")</f>
        <v>1.4162499999999998</v>
      </c>
      <c r="L95" s="24">
        <f>IFERROR(VLOOKUP($H95,'[1]Actual &amp; PO  Analysis 2020'!$A$4:$CB$300,80,0),"")</f>
        <v>0.17699999999999999</v>
      </c>
      <c r="M95" s="24">
        <f>IFERROR(VLOOKUP($H95,'[1]Actual &amp; PO  Analysis 2020'!$A$4:$CH$300,86,0),"")</f>
        <v>0.90899999999999992</v>
      </c>
      <c r="N95" s="25">
        <v>4.1394166666666665</v>
      </c>
    </row>
    <row r="96" spans="1:14" x14ac:dyDescent="0.25">
      <c r="A96" s="11" t="s">
        <v>469</v>
      </c>
      <c r="B96" s="17">
        <v>0</v>
      </c>
      <c r="C96" s="17">
        <v>1.54</v>
      </c>
      <c r="D96" s="17">
        <v>3.04</v>
      </c>
      <c r="E96" s="17">
        <v>0</v>
      </c>
      <c r="F96" s="17">
        <v>1.6</v>
      </c>
      <c r="G96" s="22">
        <f t="shared" si="1"/>
        <v>6.18</v>
      </c>
      <c r="H96" s="11" t="s">
        <v>495</v>
      </c>
      <c r="I96" s="24" t="str">
        <f>IFERROR(VLOOKUP($H96,'[1]Actual &amp; PO  Analysis 2020'!$A$4:$BJ$300,62,0),"")</f>
        <v>0</v>
      </c>
      <c r="J96" s="24">
        <f>IFERROR(VLOOKUP($H96,'[1]Actual &amp; PO  Analysis 2020'!$A$4:$BP$300,68,0),"")</f>
        <v>5.6485000000000003</v>
      </c>
      <c r="K96" s="24">
        <f>IFERROR(VLOOKUP($H96,'[1]Actual &amp; PO  Analysis 2020'!$A$4:$BV$300,74,0),"")</f>
        <v>4.0774999999999997</v>
      </c>
      <c r="L96" s="24">
        <f>IFERROR(VLOOKUP($H96,'[1]Actual &amp; PO  Analysis 2020'!$A$4:$CB$300,80,0),"")</f>
        <v>0.17599999999999999</v>
      </c>
      <c r="M96" s="24">
        <f>IFERROR(VLOOKUP($H96,'[1]Actual &amp; PO  Analysis 2020'!$A$4:$CH$300,86,0),"")</f>
        <v>1.4249999999999998</v>
      </c>
      <c r="N96" s="25">
        <v>10.10995</v>
      </c>
    </row>
    <row r="97" spans="1:14" x14ac:dyDescent="0.25">
      <c r="A97" s="11" t="s">
        <v>470</v>
      </c>
      <c r="B97" s="17">
        <v>0</v>
      </c>
      <c r="C97" s="17">
        <v>1.56</v>
      </c>
      <c r="D97" s="17">
        <v>3.04</v>
      </c>
      <c r="E97" s="17">
        <v>0</v>
      </c>
      <c r="F97" s="17">
        <v>1.6</v>
      </c>
      <c r="G97" s="22">
        <f t="shared" si="1"/>
        <v>6.1999999999999993</v>
      </c>
      <c r="H97" s="11" t="s">
        <v>491</v>
      </c>
      <c r="I97" s="24" t="str">
        <f>IFERROR(VLOOKUP($H97,'[1]Actual &amp; PO  Analysis 2020'!$A$4:$BJ$300,62,0),"")</f>
        <v>0</v>
      </c>
      <c r="J97" s="24">
        <f>IFERROR(VLOOKUP($H97,'[1]Actual &amp; PO  Analysis 2020'!$A$4:$BP$300,68,0),"")</f>
        <v>3.4729999999999999</v>
      </c>
      <c r="K97" s="24">
        <f>IFERROR(VLOOKUP($H97,'[1]Actual &amp; PO  Analysis 2020'!$A$4:$BV$300,74,0),"")</f>
        <v>4.2313999999999998</v>
      </c>
      <c r="L97" s="24">
        <f>IFERROR(VLOOKUP($H97,'[1]Actual &amp; PO  Analysis 2020'!$A$4:$CB$300,80,0),"")</f>
        <v>0.1726</v>
      </c>
      <c r="M97" s="24">
        <f>IFERROR(VLOOKUP($H97,'[1]Actual &amp; PO  Analysis 2020'!$A$4:$CH$300,86,0),"")</f>
        <v>1.3026</v>
      </c>
      <c r="N97" s="25">
        <v>9.1796000000000006</v>
      </c>
    </row>
    <row r="98" spans="1:14" x14ac:dyDescent="0.25">
      <c r="A98" s="11" t="s">
        <v>471</v>
      </c>
      <c r="B98" s="17">
        <v>0</v>
      </c>
      <c r="C98" s="17">
        <v>1.56</v>
      </c>
      <c r="D98" s="17">
        <v>3.04</v>
      </c>
      <c r="E98" s="17">
        <v>0</v>
      </c>
      <c r="F98" s="17">
        <v>1.6</v>
      </c>
      <c r="G98" s="22">
        <f t="shared" si="1"/>
        <v>6.1999999999999993</v>
      </c>
      <c r="H98" s="11" t="s">
        <v>467</v>
      </c>
      <c r="I98" s="24" t="str">
        <f>IFERROR(VLOOKUP($H98,'[1]Actual &amp; PO  Analysis 2020'!$A$4:$BJ$300,62,0),"")</f>
        <v/>
      </c>
      <c r="J98" s="24" t="str">
        <f>IFERROR(VLOOKUP($H98,'[1]Actual &amp; PO  Analysis 2020'!$A$4:$BP$300,68,0),"")</f>
        <v/>
      </c>
      <c r="K98" s="24" t="str">
        <f>IFERROR(VLOOKUP($H98,'[1]Actual &amp; PO  Analysis 2020'!$A$4:$BV$300,74,0),"")</f>
        <v/>
      </c>
      <c r="L98" s="24" t="str">
        <f>IFERROR(VLOOKUP($H98,'[1]Actual &amp; PO  Analysis 2020'!$A$4:$CB$300,80,0),"")</f>
        <v/>
      </c>
      <c r="M98" s="24" t="str">
        <f>IFERROR(VLOOKUP($H98,'[1]Actual &amp; PO  Analysis 2020'!$A$4:$CH$300,86,0),"")</f>
        <v/>
      </c>
      <c r="N98" s="25">
        <v>0</v>
      </c>
    </row>
    <row r="99" spans="1:14" x14ac:dyDescent="0.25">
      <c r="A99" s="11" t="s">
        <v>494</v>
      </c>
      <c r="B99" s="17">
        <v>0</v>
      </c>
      <c r="C99" s="17">
        <v>1.29</v>
      </c>
      <c r="D99" s="17">
        <v>2.8</v>
      </c>
      <c r="E99" s="17">
        <v>0</v>
      </c>
      <c r="F99" s="17">
        <v>1.6</v>
      </c>
      <c r="G99" s="22">
        <f t="shared" si="1"/>
        <v>5.6899999999999995</v>
      </c>
      <c r="H99" s="11" t="s">
        <v>468</v>
      </c>
      <c r="I99" s="24" t="str">
        <f>IFERROR(VLOOKUP($H99,'[1]Actual &amp; PO  Analysis 2020'!$A$4:$BJ$300,62,0),"")</f>
        <v>0</v>
      </c>
      <c r="J99" s="24">
        <f>IFERROR(VLOOKUP($H99,'[1]Actual &amp; PO  Analysis 2020'!$A$4:$BP$300,68,0),"")</f>
        <v>4.7409999999999997</v>
      </c>
      <c r="K99" s="24">
        <f>IFERROR(VLOOKUP($H99,'[1]Actual &amp; PO  Analysis 2020'!$A$4:$BV$300,74,0),"")</f>
        <v>4.5250000000000004</v>
      </c>
      <c r="L99" s="24">
        <f>IFERROR(VLOOKUP($H99,'[1]Actual &amp; PO  Analysis 2020'!$A$4:$CB$300,80,0),"")</f>
        <v>0.2145</v>
      </c>
      <c r="M99" s="24">
        <f>IFERROR(VLOOKUP($H99,'[1]Actual &amp; PO  Analysis 2020'!$A$4:$CH$300,86,0),"")</f>
        <v>1.3806666666666667</v>
      </c>
      <c r="N99" s="25">
        <v>10.778499999999999</v>
      </c>
    </row>
    <row r="100" spans="1:14" x14ac:dyDescent="0.25">
      <c r="A100" s="11" t="s">
        <v>472</v>
      </c>
      <c r="B100" s="17">
        <v>0</v>
      </c>
      <c r="C100" s="17">
        <v>1.65</v>
      </c>
      <c r="D100" s="17">
        <v>3.04</v>
      </c>
      <c r="E100" s="17">
        <v>0</v>
      </c>
      <c r="F100" s="17">
        <v>1.6</v>
      </c>
      <c r="G100" s="22">
        <f t="shared" si="1"/>
        <v>6.2899999999999991</v>
      </c>
      <c r="H100" s="11" t="s">
        <v>469</v>
      </c>
      <c r="I100" s="24" t="str">
        <f>IFERROR(VLOOKUP($H100,'[1]Actual &amp; PO  Analysis 2020'!$A$4:$BJ$300,62,0),"")</f>
        <v>0</v>
      </c>
      <c r="J100" s="24">
        <f>IFERROR(VLOOKUP($H100,'[1]Actual &amp; PO  Analysis 2020'!$A$4:$BP$300,68,0),"")</f>
        <v>3.1240000000000001</v>
      </c>
      <c r="K100" s="24">
        <f>IFERROR(VLOOKUP($H100,'[1]Actual &amp; PO  Analysis 2020'!$A$4:$BV$300,74,0),"")</f>
        <v>4.3420000000000005</v>
      </c>
      <c r="L100" s="24">
        <f>IFERROR(VLOOKUP($H100,'[1]Actual &amp; PO  Analysis 2020'!$A$4:$CB$300,80,0),"")</f>
        <v>0.16</v>
      </c>
      <c r="M100" s="24">
        <f>IFERROR(VLOOKUP($H100,'[1]Actual &amp; PO  Analysis 2020'!$A$4:$CH$300,86,0),"")</f>
        <v>2.0005000000000002</v>
      </c>
      <c r="N100" s="25">
        <v>8.9820000000000011</v>
      </c>
    </row>
    <row r="101" spans="1:14" x14ac:dyDescent="0.25">
      <c r="A101" s="11" t="s">
        <v>473</v>
      </c>
      <c r="B101" s="17">
        <v>0</v>
      </c>
      <c r="C101" s="17">
        <v>1.65</v>
      </c>
      <c r="D101" s="17">
        <v>3.04</v>
      </c>
      <c r="E101" s="17">
        <v>0</v>
      </c>
      <c r="F101" s="17">
        <v>1.6</v>
      </c>
      <c r="G101" s="22">
        <f t="shared" si="1"/>
        <v>6.2899999999999991</v>
      </c>
      <c r="H101" s="11" t="s">
        <v>470</v>
      </c>
      <c r="I101" s="24" t="str">
        <f>IFERROR(VLOOKUP($H101,'[1]Actual &amp; PO  Analysis 2020'!$A$4:$BJ$300,62,0),"")</f>
        <v>0</v>
      </c>
      <c r="J101" s="24">
        <f>IFERROR(VLOOKUP($H101,'[1]Actual &amp; PO  Analysis 2020'!$A$4:$BP$300,68,0),"")</f>
        <v>3.8874999999999997</v>
      </c>
      <c r="K101" s="24">
        <f>IFERROR(VLOOKUP($H101,'[1]Actual &amp; PO  Analysis 2020'!$A$4:$BV$300,74,0),"")</f>
        <v>5.0534999999999997</v>
      </c>
      <c r="L101" s="24">
        <f>IFERROR(VLOOKUP($H101,'[1]Actual &amp; PO  Analysis 2020'!$A$4:$CB$300,80,0),"")</f>
        <v>0.17199999999999999</v>
      </c>
      <c r="M101" s="24">
        <f>IFERROR(VLOOKUP($H101,'[1]Actual &amp; PO  Analysis 2020'!$A$4:$CH$300,86,0),"")</f>
        <v>1.7429999999999999</v>
      </c>
      <c r="N101" s="25">
        <v>11.013</v>
      </c>
    </row>
    <row r="102" spans="1:14" x14ac:dyDescent="0.25">
      <c r="A102" s="11" t="s">
        <v>474</v>
      </c>
      <c r="B102" s="17">
        <v>0</v>
      </c>
      <c r="C102" s="17">
        <v>1.76</v>
      </c>
      <c r="D102" s="17">
        <v>3.04</v>
      </c>
      <c r="E102" s="17">
        <v>0</v>
      </c>
      <c r="F102" s="17">
        <v>1.6</v>
      </c>
      <c r="G102" s="22">
        <f t="shared" si="1"/>
        <v>6.4</v>
      </c>
      <c r="H102" s="11" t="s">
        <v>471</v>
      </c>
      <c r="I102" s="24">
        <f>IFERROR(VLOOKUP($H102,'[1]Actual &amp; PO  Analysis 2020'!$A$4:$BJ$300,62,0),"")</f>
        <v>0</v>
      </c>
      <c r="J102" s="24">
        <f>IFERROR(VLOOKUP($H102,'[1]Actual &amp; PO  Analysis 2020'!$A$4:$BP$300,68,0),"")</f>
        <v>0</v>
      </c>
      <c r="K102" s="24">
        <f>IFERROR(VLOOKUP($H102,'[1]Actual &amp; PO  Analysis 2020'!$A$4:$BV$300,74,0),"")</f>
        <v>0</v>
      </c>
      <c r="L102" s="24">
        <f>IFERROR(VLOOKUP($H102,'[1]Actual &amp; PO  Analysis 2020'!$A$4:$CB$300,80,0),"")</f>
        <v>0</v>
      </c>
      <c r="M102" s="24">
        <f>IFERROR(VLOOKUP($H102,'[1]Actual &amp; PO  Analysis 2020'!$A$4:$CH$300,86,0),"")</f>
        <v>0</v>
      </c>
      <c r="N102" s="25">
        <v>0</v>
      </c>
    </row>
    <row r="103" spans="1:14" x14ac:dyDescent="0.25">
      <c r="A103" s="23" t="s">
        <v>497</v>
      </c>
      <c r="B103" s="17">
        <v>0</v>
      </c>
      <c r="C103" s="17">
        <v>0</v>
      </c>
      <c r="D103" s="17">
        <v>0</v>
      </c>
      <c r="E103" s="17">
        <v>0</v>
      </c>
      <c r="F103" s="17">
        <v>0</v>
      </c>
      <c r="G103" s="22">
        <f t="shared" si="1"/>
        <v>0</v>
      </c>
      <c r="H103" s="11" t="s">
        <v>494</v>
      </c>
      <c r="I103" s="24" t="str">
        <f>IFERROR(VLOOKUP($H103,'[1]Actual &amp; PO  Analysis 2020'!$A$4:$BJ$300,62,0),"")</f>
        <v>0</v>
      </c>
      <c r="J103" s="24">
        <f>IFERROR(VLOOKUP($H103,'[1]Actual &amp; PO  Analysis 2020'!$A$4:$BP$300,68,0),"")</f>
        <v>4.9009999999999998</v>
      </c>
      <c r="K103" s="24">
        <f>IFERROR(VLOOKUP($H103,'[1]Actual &amp; PO  Analysis 2020'!$A$4:$BV$300,74,0),"")</f>
        <v>6.5446666666666671</v>
      </c>
      <c r="L103" s="24">
        <f>IFERROR(VLOOKUP($H103,'[1]Actual &amp; PO  Analysis 2020'!$A$4:$CB$300,80,0),"")</f>
        <v>0.19133333333333336</v>
      </c>
      <c r="M103" s="24">
        <f>IFERROR(VLOOKUP($H103,'[1]Actual &amp; PO  Analysis 2020'!$A$4:$CH$300,86,0),"")</f>
        <v>2.0369999999999999</v>
      </c>
      <c r="N103" s="25">
        <v>13.935500000000001</v>
      </c>
    </row>
    <row r="104" spans="1:14" x14ac:dyDescent="0.25">
      <c r="A104" s="11" t="s">
        <v>475</v>
      </c>
      <c r="B104" s="17">
        <v>0</v>
      </c>
      <c r="C104" s="17">
        <v>1.24</v>
      </c>
      <c r="D104" s="17">
        <v>3.24</v>
      </c>
      <c r="E104" s="17">
        <v>0</v>
      </c>
      <c r="F104" s="17">
        <v>1.8</v>
      </c>
      <c r="G104" s="22">
        <f t="shared" si="1"/>
        <v>6.28</v>
      </c>
      <c r="H104" s="11" t="s">
        <v>472</v>
      </c>
      <c r="I104" s="24" t="str">
        <f>IFERROR(VLOOKUP($H104,'[1]Actual &amp; PO  Analysis 2020'!$A$4:$BJ$300,62,0),"")</f>
        <v/>
      </c>
      <c r="J104" s="24" t="str">
        <f>IFERROR(VLOOKUP($H104,'[1]Actual &amp; PO  Analysis 2020'!$A$4:$BP$300,68,0),"")</f>
        <v/>
      </c>
      <c r="K104" s="24" t="str">
        <f>IFERROR(VLOOKUP($H104,'[1]Actual &amp; PO  Analysis 2020'!$A$4:$BV$300,74,0),"")</f>
        <v/>
      </c>
      <c r="L104" s="24" t="str">
        <f>IFERROR(VLOOKUP($H104,'[1]Actual &amp; PO  Analysis 2020'!$A$4:$CB$300,80,0),"")</f>
        <v/>
      </c>
      <c r="M104" s="24" t="str">
        <f>IFERROR(VLOOKUP($H104,'[1]Actual &amp; PO  Analysis 2020'!$A$4:$CH$300,86,0),"")</f>
        <v/>
      </c>
      <c r="N104" s="25">
        <v>0</v>
      </c>
    </row>
    <row r="105" spans="1:14" x14ac:dyDescent="0.25">
      <c r="A105" s="11" t="s">
        <v>476</v>
      </c>
      <c r="B105" s="17">
        <v>0</v>
      </c>
      <c r="C105" s="17">
        <v>1.25</v>
      </c>
      <c r="D105" s="17">
        <v>3.24</v>
      </c>
      <c r="E105" s="17">
        <v>0</v>
      </c>
      <c r="F105" s="17">
        <v>1.8</v>
      </c>
      <c r="G105" s="22">
        <f t="shared" si="1"/>
        <v>6.29</v>
      </c>
      <c r="H105" s="11" t="s">
        <v>473</v>
      </c>
      <c r="I105" s="24" t="str">
        <f>IFERROR(VLOOKUP($H105,'[1]Actual &amp; PO  Analysis 2020'!$A$4:$BJ$300,62,0),"")</f>
        <v/>
      </c>
      <c r="J105" s="24" t="str">
        <f>IFERROR(VLOOKUP($H105,'[1]Actual &amp; PO  Analysis 2020'!$A$4:$BP$300,68,0),"")</f>
        <v/>
      </c>
      <c r="K105" s="24" t="str">
        <f>IFERROR(VLOOKUP($H105,'[1]Actual &amp; PO  Analysis 2020'!$A$4:$BV$300,74,0),"")</f>
        <v/>
      </c>
      <c r="L105" s="24" t="str">
        <f>IFERROR(VLOOKUP($H105,'[1]Actual &amp; PO  Analysis 2020'!$A$4:$CB$300,80,0),"")</f>
        <v/>
      </c>
      <c r="M105" s="24" t="str">
        <f>IFERROR(VLOOKUP($H105,'[1]Actual &amp; PO  Analysis 2020'!$A$4:$CH$300,86,0),"")</f>
        <v/>
      </c>
      <c r="N105" s="25">
        <v>0</v>
      </c>
    </row>
    <row r="106" spans="1:14" x14ac:dyDescent="0.25">
      <c r="A106" s="11" t="s">
        <v>477</v>
      </c>
      <c r="B106" s="17">
        <v>0</v>
      </c>
      <c r="C106" s="17">
        <v>1.27</v>
      </c>
      <c r="D106" s="17">
        <v>3.24</v>
      </c>
      <c r="E106" s="17">
        <v>0</v>
      </c>
      <c r="F106" s="17">
        <v>1.8</v>
      </c>
      <c r="G106" s="22">
        <f t="shared" si="1"/>
        <v>6.31</v>
      </c>
      <c r="H106" s="11" t="s">
        <v>474</v>
      </c>
      <c r="I106" s="24" t="str">
        <f>IFERROR(VLOOKUP($H106,'[1]Actual &amp; PO  Analysis 2020'!$A$4:$BJ$300,62,0),"")</f>
        <v/>
      </c>
      <c r="J106" s="24" t="str">
        <f>IFERROR(VLOOKUP($H106,'[1]Actual &amp; PO  Analysis 2020'!$A$4:$BP$300,68,0),"")</f>
        <v/>
      </c>
      <c r="K106" s="24" t="str">
        <f>IFERROR(VLOOKUP($H106,'[1]Actual &amp; PO  Analysis 2020'!$A$4:$BV$300,74,0),"")</f>
        <v/>
      </c>
      <c r="L106" s="24" t="str">
        <f>IFERROR(VLOOKUP($H106,'[1]Actual &amp; PO  Analysis 2020'!$A$4:$CB$300,80,0),"")</f>
        <v/>
      </c>
      <c r="M106" s="24" t="str">
        <f>IFERROR(VLOOKUP($H106,'[1]Actual &amp; PO  Analysis 2020'!$A$4:$CH$300,86,0),"")</f>
        <v/>
      </c>
      <c r="N106" s="25">
        <v>0</v>
      </c>
    </row>
    <row r="107" spans="1:14" x14ac:dyDescent="0.25">
      <c r="A107" s="11" t="s">
        <v>478</v>
      </c>
      <c r="B107" s="17">
        <v>0</v>
      </c>
      <c r="C107" s="17">
        <v>1.28</v>
      </c>
      <c r="D107" s="17">
        <v>3.24</v>
      </c>
      <c r="E107" s="17">
        <v>0</v>
      </c>
      <c r="F107" s="17">
        <v>1.8</v>
      </c>
      <c r="G107" s="22">
        <f t="shared" si="1"/>
        <v>6.32</v>
      </c>
      <c r="H107" s="11" t="s">
        <v>497</v>
      </c>
      <c r="I107" s="24" t="str">
        <f>IFERROR(VLOOKUP($H107,'[1]Actual &amp; PO  Analysis 2020'!$A$4:$BJ$300,62,0),"")</f>
        <v>0</v>
      </c>
      <c r="J107" s="24">
        <f>IFERROR(VLOOKUP($H107,'[1]Actual &amp; PO  Analysis 2020'!$A$4:$BP$300,68,0),"")</f>
        <v>3.7774999999999999</v>
      </c>
      <c r="K107" s="24">
        <f>IFERROR(VLOOKUP($H107,'[1]Actual &amp; PO  Analysis 2020'!$A$4:$BV$300,74,0),"")</f>
        <v>4.0540000000000003</v>
      </c>
      <c r="L107" s="24" t="str">
        <f>IFERROR(VLOOKUP($H107,'[1]Actual &amp; PO  Analysis 2020'!$A$4:$CB$300,80,0),"")</f>
        <v>0</v>
      </c>
      <c r="M107" s="24" t="str">
        <f>IFERROR(VLOOKUP($H107,'[1]Actual &amp; PO  Analysis 2020'!$A$4:$CH$300,86,0),"")</f>
        <v>0</v>
      </c>
      <c r="N107" s="25">
        <v>9.1539999999999999</v>
      </c>
    </row>
    <row r="108" spans="1:14" x14ac:dyDescent="0.25">
      <c r="A108" s="23" t="s">
        <v>498</v>
      </c>
      <c r="B108" s="17">
        <v>0</v>
      </c>
      <c r="C108" s="17">
        <v>0</v>
      </c>
      <c r="D108" s="17">
        <v>0</v>
      </c>
      <c r="E108" s="17">
        <v>0</v>
      </c>
      <c r="F108" s="17">
        <v>0</v>
      </c>
      <c r="G108" s="22">
        <f t="shared" si="1"/>
        <v>0</v>
      </c>
      <c r="H108" s="11" t="s">
        <v>475</v>
      </c>
      <c r="I108" s="24" t="str">
        <f>IFERROR(VLOOKUP($H108,'[1]Actual &amp; PO  Analysis 2020'!$A$4:$BJ$300,62,0),"")</f>
        <v/>
      </c>
      <c r="J108" s="24" t="str">
        <f>IFERROR(VLOOKUP($H108,'[1]Actual &amp; PO  Analysis 2020'!$A$4:$BP$300,68,0),"")</f>
        <v/>
      </c>
      <c r="K108" s="24" t="str">
        <f>IFERROR(VLOOKUP($H108,'[1]Actual &amp; PO  Analysis 2020'!$A$4:$BV$300,74,0),"")</f>
        <v/>
      </c>
      <c r="L108" s="24" t="str">
        <f>IFERROR(VLOOKUP($H108,'[1]Actual &amp; PO  Analysis 2020'!$A$4:$CB$300,80,0),"")</f>
        <v/>
      </c>
      <c r="M108" s="24" t="str">
        <f>IFERROR(VLOOKUP($H108,'[1]Actual &amp; PO  Analysis 2020'!$A$4:$CH$300,86,0),"")</f>
        <v/>
      </c>
      <c r="N108" s="25">
        <v>0</v>
      </c>
    </row>
    <row r="109" spans="1:14" x14ac:dyDescent="0.25">
      <c r="A109" s="11" t="s">
        <v>479</v>
      </c>
      <c r="B109" s="17">
        <v>0</v>
      </c>
      <c r="C109" s="17">
        <v>1.36</v>
      </c>
      <c r="D109" s="17">
        <v>3.24</v>
      </c>
      <c r="E109" s="17">
        <v>0</v>
      </c>
      <c r="F109" s="17">
        <v>1.8</v>
      </c>
      <c r="G109" s="22">
        <f t="shared" si="1"/>
        <v>6.4</v>
      </c>
      <c r="H109" s="11" t="s">
        <v>476</v>
      </c>
      <c r="I109" s="24" t="str">
        <f>IFERROR(VLOOKUP($H109,'[1]Actual &amp; PO  Analysis 2020'!$A$4:$BJ$300,62,0),"")</f>
        <v>0</v>
      </c>
      <c r="J109" s="24">
        <f>IFERROR(VLOOKUP($H109,'[1]Actual &amp; PO  Analysis 2020'!$A$4:$BP$300,68,0),"")</f>
        <v>4.1481666666666666</v>
      </c>
      <c r="K109" s="24">
        <f>IFERROR(VLOOKUP($H109,'[1]Actual &amp; PO  Analysis 2020'!$A$4:$BV$300,74,0),"")</f>
        <v>4.5432000000000006</v>
      </c>
      <c r="L109" s="24">
        <f>IFERROR(VLOOKUP($H109,'[1]Actual &amp; PO  Analysis 2020'!$A$4:$CB$300,80,0),"")</f>
        <v>0.18160000000000004</v>
      </c>
      <c r="M109" s="24">
        <f>IFERROR(VLOOKUP($H109,'[1]Actual &amp; PO  Analysis 2020'!$A$4:$CH$300,86,0),"")</f>
        <v>2.4634999999999998</v>
      </c>
      <c r="N109" s="25">
        <v>11.450966666666666</v>
      </c>
    </row>
    <row r="110" spans="1:14" x14ac:dyDescent="0.25">
      <c r="A110" s="11" t="s">
        <v>271</v>
      </c>
      <c r="B110" s="17">
        <v>0</v>
      </c>
      <c r="C110" s="17">
        <v>4.5</v>
      </c>
      <c r="D110" s="17">
        <v>5.6400000000000006</v>
      </c>
      <c r="E110" s="17">
        <v>0.1</v>
      </c>
      <c r="F110" s="17">
        <v>1.24</v>
      </c>
      <c r="G110" s="22">
        <f t="shared" si="1"/>
        <v>11.48</v>
      </c>
      <c r="H110" s="11" t="s">
        <v>477</v>
      </c>
      <c r="I110" s="24" t="str">
        <f>IFERROR(VLOOKUP($H110,'[1]Actual &amp; PO  Analysis 2020'!$A$4:$BJ$300,62,0),"")</f>
        <v>0</v>
      </c>
      <c r="J110" s="24">
        <f>IFERROR(VLOOKUP($H110,'[1]Actual &amp; PO  Analysis 2020'!$A$4:$BP$300,68,0),"")</f>
        <v>3.4456666666666664</v>
      </c>
      <c r="K110" s="24">
        <f>IFERROR(VLOOKUP($H110,'[1]Actual &amp; PO  Analysis 2020'!$A$4:$BV$300,74,0),"")</f>
        <v>9.1723333333333326</v>
      </c>
      <c r="L110" s="24">
        <f>IFERROR(VLOOKUP($H110,'[1]Actual &amp; PO  Analysis 2020'!$A$4:$CB$300,80,0),"")</f>
        <v>0.18133333333333335</v>
      </c>
      <c r="M110" s="24">
        <f>IFERROR(VLOOKUP($H110,'[1]Actual &amp; PO  Analysis 2020'!$A$4:$CH$300,86,0),"")</f>
        <v>3.5713333333333335</v>
      </c>
      <c r="N110" s="25">
        <v>19.121499999999997</v>
      </c>
    </row>
    <row r="111" spans="1:14" x14ac:dyDescent="0.25">
      <c r="A111" s="11" t="s">
        <v>256</v>
      </c>
      <c r="B111" s="17">
        <v>0</v>
      </c>
      <c r="C111" s="17">
        <v>3.96</v>
      </c>
      <c r="D111" s="17">
        <v>4.6400000000000006</v>
      </c>
      <c r="E111" s="17">
        <v>0.1</v>
      </c>
      <c r="F111" s="17">
        <v>2.74</v>
      </c>
      <c r="G111" s="22">
        <f t="shared" si="1"/>
        <v>11.440000000000001</v>
      </c>
      <c r="H111" s="11" t="s">
        <v>478</v>
      </c>
      <c r="I111" s="24" t="str">
        <f>IFERROR(VLOOKUP($H111,'[1]Actual &amp; PO  Analysis 2020'!$A$4:$BJ$300,62,0),"")</f>
        <v>0</v>
      </c>
      <c r="J111" s="24">
        <f>IFERROR(VLOOKUP($H111,'[1]Actual &amp; PO  Analysis 2020'!$A$4:$BP$300,68,0),"")</f>
        <v>3.47675</v>
      </c>
      <c r="K111" s="24">
        <f>IFERROR(VLOOKUP($H111,'[1]Actual &amp; PO  Analysis 2020'!$A$4:$BV$300,74,0),"")</f>
        <v>4.8892500000000005</v>
      </c>
      <c r="L111" s="24">
        <f>IFERROR(VLOOKUP($H111,'[1]Actual &amp; PO  Analysis 2020'!$A$4:$CB$300,80,0),"")</f>
        <v>0.18524999999999997</v>
      </c>
      <c r="M111" s="24">
        <f>IFERROR(VLOOKUP($H111,'[1]Actual &amp; PO  Analysis 2020'!$A$4:$CH$300,86,0),"")</f>
        <v>2.448</v>
      </c>
      <c r="N111" s="25">
        <v>12.035</v>
      </c>
    </row>
    <row r="112" spans="1:14" x14ac:dyDescent="0.25">
      <c r="A112" s="11" t="s">
        <v>385</v>
      </c>
      <c r="B112" s="17">
        <v>0</v>
      </c>
      <c r="C112" s="17">
        <v>4.5</v>
      </c>
      <c r="D112" s="17">
        <v>5.6999999999999993</v>
      </c>
      <c r="E112" s="17">
        <v>0.1</v>
      </c>
      <c r="F112" s="17">
        <v>1.18</v>
      </c>
      <c r="G112" s="22">
        <f t="shared" si="1"/>
        <v>11.479999999999999</v>
      </c>
      <c r="H112" s="11" t="s">
        <v>498</v>
      </c>
      <c r="I112" s="24" t="str">
        <f>IFERROR(VLOOKUP($H112,'[1]Actual &amp; PO  Analysis 2020'!$A$4:$BJ$300,62,0),"")</f>
        <v/>
      </c>
      <c r="J112" s="24" t="str">
        <f>IFERROR(VLOOKUP($H112,'[1]Actual &amp; PO  Analysis 2020'!$A$4:$BP$300,68,0),"")</f>
        <v/>
      </c>
      <c r="K112" s="24" t="str">
        <f>IFERROR(VLOOKUP($H112,'[1]Actual &amp; PO  Analysis 2020'!$A$4:$BV$300,74,0),"")</f>
        <v/>
      </c>
      <c r="L112" s="24" t="str">
        <f>IFERROR(VLOOKUP($H112,'[1]Actual &amp; PO  Analysis 2020'!$A$4:$CB$300,80,0),"")</f>
        <v/>
      </c>
      <c r="M112" s="24" t="str">
        <f>IFERROR(VLOOKUP($H112,'[1]Actual &amp; PO  Analysis 2020'!$A$4:$CH$300,86,0),"")</f>
        <v/>
      </c>
      <c r="N112" s="25">
        <v>0</v>
      </c>
    </row>
    <row r="113" spans="1:14" x14ac:dyDescent="0.25">
      <c r="A113" s="11" t="s">
        <v>319</v>
      </c>
      <c r="B113" s="17">
        <v>0</v>
      </c>
      <c r="C113" s="17">
        <v>3.96</v>
      </c>
      <c r="D113" s="17">
        <v>4.6400000000000006</v>
      </c>
      <c r="E113" s="17">
        <v>0.1</v>
      </c>
      <c r="F113" s="17">
        <v>2.74</v>
      </c>
      <c r="G113" s="22">
        <f t="shared" si="1"/>
        <v>11.440000000000001</v>
      </c>
      <c r="H113" s="11" t="s">
        <v>479</v>
      </c>
      <c r="I113" s="24" t="str">
        <f>IFERROR(VLOOKUP($H113,'[1]Actual &amp; PO  Analysis 2020'!$A$4:$BJ$300,62,0),"")</f>
        <v>0</v>
      </c>
      <c r="J113" s="24">
        <f>IFERROR(VLOOKUP($H113,'[1]Actual &amp; PO  Analysis 2020'!$A$4:$BP$300,68,0),"")</f>
        <v>5.6999999999999993</v>
      </c>
      <c r="K113" s="24">
        <f>IFERROR(VLOOKUP($H113,'[1]Actual &amp; PO  Analysis 2020'!$A$4:$BV$300,74,0),"")</f>
        <v>3.3186666666666667</v>
      </c>
      <c r="L113" s="24">
        <f>IFERROR(VLOOKUP($H113,'[1]Actual &amp; PO  Analysis 2020'!$A$4:$CB$300,80,0),"")</f>
        <v>0.1875</v>
      </c>
      <c r="M113" s="24">
        <f>IFERROR(VLOOKUP($H113,'[1]Actual &amp; PO  Analysis 2020'!$A$4:$CH$300,86,0),"")</f>
        <v>1.8839999999999999</v>
      </c>
      <c r="N113" s="25">
        <v>11.090166666666667</v>
      </c>
    </row>
    <row r="114" spans="1:14" x14ac:dyDescent="0.25">
      <c r="A114" s="11" t="s">
        <v>276</v>
      </c>
      <c r="B114" s="17">
        <v>0</v>
      </c>
      <c r="C114" s="17">
        <v>6.5579999999999998</v>
      </c>
      <c r="D114" s="17">
        <v>7.6839999999999993</v>
      </c>
      <c r="E114" s="17">
        <v>0.16600000000000001</v>
      </c>
      <c r="F114" s="17">
        <v>3.5539999999999998</v>
      </c>
      <c r="G114" s="22">
        <f t="shared" si="1"/>
        <v>17.962</v>
      </c>
      <c r="H114" s="11" t="s">
        <v>271</v>
      </c>
      <c r="I114" s="24" t="str">
        <f>IFERROR(VLOOKUP($H114,'[1]Actual &amp; PO  Analysis 2020'!$A$4:$BJ$300,62,0),"")</f>
        <v/>
      </c>
      <c r="J114" s="24" t="str">
        <f>IFERROR(VLOOKUP($H114,'[1]Actual &amp; PO  Analysis 2020'!$A$4:$BP$300,68,0),"")</f>
        <v/>
      </c>
      <c r="K114" s="24" t="str">
        <f>IFERROR(VLOOKUP($H114,'[1]Actual &amp; PO  Analysis 2020'!$A$4:$BV$300,74,0),"")</f>
        <v/>
      </c>
      <c r="L114" s="24" t="str">
        <f>IFERROR(VLOOKUP($H114,'[1]Actual &amp; PO  Analysis 2020'!$A$4:$CB$300,80,0),"")</f>
        <v/>
      </c>
      <c r="M114" s="24" t="str">
        <f>IFERROR(VLOOKUP($H114,'[1]Actual &amp; PO  Analysis 2020'!$A$4:$CH$300,86,0),"")</f>
        <v/>
      </c>
      <c r="N114" s="25">
        <v>0</v>
      </c>
    </row>
    <row r="115" spans="1:14" x14ac:dyDescent="0.25">
      <c r="A115" s="11" t="s">
        <v>277</v>
      </c>
      <c r="B115" s="17">
        <v>0</v>
      </c>
      <c r="C115" s="17">
        <v>6.1559999999999997</v>
      </c>
      <c r="D115" s="17">
        <v>7.2129999999999992</v>
      </c>
      <c r="E115" s="17">
        <v>0.155</v>
      </c>
      <c r="F115" s="17">
        <v>1.927</v>
      </c>
      <c r="G115" s="22">
        <f t="shared" si="1"/>
        <v>15.450999999999999</v>
      </c>
      <c r="H115" s="11" t="s">
        <v>256</v>
      </c>
      <c r="I115" s="24" t="str">
        <f>IFERROR(VLOOKUP($H115,'[1]Actual &amp; PO  Analysis 2020'!$A$4:$BJ$300,62,0),"")</f>
        <v>0</v>
      </c>
      <c r="J115" s="24">
        <f>IFERROR(VLOOKUP($H115,'[1]Actual &amp; PO  Analysis 2020'!$A$4:$BP$300,68,0),"")</f>
        <v>2.4595000000000002</v>
      </c>
      <c r="K115" s="24">
        <f>IFERROR(VLOOKUP($H115,'[1]Actual &amp; PO  Analysis 2020'!$A$4:$BV$300,74,0),"")</f>
        <v>6.9269999999999996</v>
      </c>
      <c r="L115" s="24">
        <f>IFERROR(VLOOKUP($H115,'[1]Actual &amp; PO  Analysis 2020'!$A$4:$CB$300,80,0),"")</f>
        <v>0.13400000000000001</v>
      </c>
      <c r="M115" s="24">
        <f>IFERROR(VLOOKUP($H115,'[1]Actual &amp; PO  Analysis 2020'!$A$4:$CH$300,86,0),"")</f>
        <v>3.3569999999999998</v>
      </c>
      <c r="N115" s="25">
        <v>12.8775</v>
      </c>
    </row>
    <row r="116" spans="1:14" x14ac:dyDescent="0.25">
      <c r="A116" s="11" t="s">
        <v>255</v>
      </c>
      <c r="B116" s="17">
        <v>0</v>
      </c>
      <c r="C116" s="17">
        <v>3.96</v>
      </c>
      <c r="D116" s="17">
        <v>4.93</v>
      </c>
      <c r="E116" s="17">
        <v>0.1</v>
      </c>
      <c r="F116" s="17">
        <v>2.74</v>
      </c>
      <c r="G116" s="22">
        <f t="shared" si="1"/>
        <v>11.73</v>
      </c>
      <c r="H116" s="11" t="s">
        <v>385</v>
      </c>
      <c r="I116" s="24" t="str">
        <f>IFERROR(VLOOKUP($H116,'[1]Actual &amp; PO  Analysis 2020'!$A$4:$BJ$300,62,0),"")</f>
        <v>0</v>
      </c>
      <c r="J116" s="24">
        <f>IFERROR(VLOOKUP($H116,'[1]Actual &amp; PO  Analysis 2020'!$A$4:$BP$300,68,0),"")</f>
        <v>3.5350000000000001</v>
      </c>
      <c r="K116" s="24">
        <f>IFERROR(VLOOKUP($H116,'[1]Actual &amp; PO  Analysis 2020'!$A$4:$BV$300,74,0),"")</f>
        <v>7.7044999999999995</v>
      </c>
      <c r="L116" s="24">
        <f>IFERROR(VLOOKUP($H116,'[1]Actual &amp; PO  Analysis 2020'!$A$4:$CB$300,80,0),"")</f>
        <v>0.20350000000000001</v>
      </c>
      <c r="M116" s="24">
        <f>IFERROR(VLOOKUP($H116,'[1]Actual &amp; PO  Analysis 2020'!$A$4:$CH$300,86,0),"")</f>
        <v>3.3384999999999998</v>
      </c>
      <c r="N116" s="25">
        <v>13.443</v>
      </c>
    </row>
    <row r="117" spans="1:14" x14ac:dyDescent="0.25">
      <c r="A117" s="11" t="s">
        <v>272</v>
      </c>
      <c r="B117" s="17">
        <v>0</v>
      </c>
      <c r="C117" s="17">
        <v>4.1500000000000004</v>
      </c>
      <c r="D117" s="17">
        <v>5.63</v>
      </c>
      <c r="E117" s="17">
        <v>0.1</v>
      </c>
      <c r="F117" s="17">
        <v>1.24</v>
      </c>
      <c r="G117" s="22">
        <f t="shared" si="1"/>
        <v>11.120000000000001</v>
      </c>
      <c r="H117" s="11" t="s">
        <v>319</v>
      </c>
      <c r="I117" s="24" t="str">
        <f>IFERROR(VLOOKUP($H117,'[1]Actual &amp; PO  Analysis 2020'!$A$4:$BJ$300,62,0),"")</f>
        <v>0</v>
      </c>
      <c r="J117" s="24">
        <f>IFERROR(VLOOKUP($H117,'[1]Actual &amp; PO  Analysis 2020'!$A$4:$BP$300,68,0),"")</f>
        <v>3.0454999999999997</v>
      </c>
      <c r="K117" s="24">
        <f>IFERROR(VLOOKUP($H117,'[1]Actual &amp; PO  Analysis 2020'!$A$4:$BV$300,74,0),"")</f>
        <v>6.5026666666666664</v>
      </c>
      <c r="L117" s="24">
        <f>IFERROR(VLOOKUP($H117,'[1]Actual &amp; PO  Analysis 2020'!$A$4:$CB$300,80,0),"")</f>
        <v>0.13900000000000001</v>
      </c>
      <c r="M117" s="24">
        <f>IFERROR(VLOOKUP($H117,'[1]Actual &amp; PO  Analysis 2020'!$A$4:$CH$300,86,0),"")</f>
        <v>2.6713333333333336</v>
      </c>
      <c r="N117" s="25">
        <v>11.719333333333333</v>
      </c>
    </row>
    <row r="118" spans="1:14" x14ac:dyDescent="0.25">
      <c r="A118" s="11" t="s">
        <v>358</v>
      </c>
      <c r="B118" s="17">
        <v>0</v>
      </c>
      <c r="C118" s="17">
        <v>4.2300000000000004</v>
      </c>
      <c r="D118" s="17">
        <v>4.6400000000000006</v>
      </c>
      <c r="E118" s="17">
        <v>0.1</v>
      </c>
      <c r="F118" s="17">
        <v>1.24</v>
      </c>
      <c r="G118" s="22">
        <f t="shared" si="1"/>
        <v>10.210000000000001</v>
      </c>
      <c r="H118" s="11" t="s">
        <v>276</v>
      </c>
      <c r="I118" s="24" t="str">
        <f>IFERROR(VLOOKUP($H118,'[1]Actual &amp; PO  Analysis 2020'!$A$4:$BJ$300,62,0),"")</f>
        <v>0</v>
      </c>
      <c r="J118" s="24">
        <f>IFERROR(VLOOKUP($H118,'[1]Actual &amp; PO  Analysis 2020'!$A$4:$BP$300,68,0),"")</f>
        <v>2.4426666666666668</v>
      </c>
      <c r="K118" s="24">
        <f>IFERROR(VLOOKUP($H118,'[1]Actual &amp; PO  Analysis 2020'!$A$4:$BV$300,74,0),"")</f>
        <v>7.6856666666666671</v>
      </c>
      <c r="L118" s="24">
        <f>IFERROR(VLOOKUP($H118,'[1]Actual &amp; PO  Analysis 2020'!$A$4:$CB$300,80,0),"")</f>
        <v>0.17500000000000002</v>
      </c>
      <c r="M118" s="24">
        <f>IFERROR(VLOOKUP($H118,'[1]Actual &amp; PO  Analysis 2020'!$A$4:$CH$300,86,0),"")</f>
        <v>3.6</v>
      </c>
      <c r="N118" s="25">
        <v>13.903333333333334</v>
      </c>
    </row>
    <row r="119" spans="1:14" x14ac:dyDescent="0.25">
      <c r="A119" s="11" t="s">
        <v>344</v>
      </c>
      <c r="B119" s="17">
        <v>0</v>
      </c>
      <c r="C119" s="17">
        <v>4.5</v>
      </c>
      <c r="D119" s="17">
        <v>5.6400000000000006</v>
      </c>
      <c r="E119" s="17">
        <v>0.1</v>
      </c>
      <c r="F119" s="17">
        <v>2.74</v>
      </c>
      <c r="G119" s="22">
        <f t="shared" si="1"/>
        <v>12.98</v>
      </c>
      <c r="H119" s="11" t="s">
        <v>277</v>
      </c>
      <c r="I119" s="24" t="str">
        <f>IFERROR(VLOOKUP($H119,'[1]Actual &amp; PO  Analysis 2020'!$A$4:$BJ$300,62,0),"")</f>
        <v/>
      </c>
      <c r="J119" s="24" t="str">
        <f>IFERROR(VLOOKUP($H119,'[1]Actual &amp; PO  Analysis 2020'!$A$4:$BP$300,68,0),"")</f>
        <v/>
      </c>
      <c r="K119" s="24" t="str">
        <f>IFERROR(VLOOKUP($H119,'[1]Actual &amp; PO  Analysis 2020'!$A$4:$BV$300,74,0),"")</f>
        <v/>
      </c>
      <c r="L119" s="24" t="str">
        <f>IFERROR(VLOOKUP($H119,'[1]Actual &amp; PO  Analysis 2020'!$A$4:$CB$300,80,0),"")</f>
        <v/>
      </c>
      <c r="M119" s="24" t="str">
        <f>IFERROR(VLOOKUP($H119,'[1]Actual &amp; PO  Analysis 2020'!$A$4:$CH$300,86,0),"")</f>
        <v/>
      </c>
      <c r="N119" s="25">
        <v>0</v>
      </c>
    </row>
    <row r="120" spans="1:14" x14ac:dyDescent="0.25">
      <c r="A120" s="11" t="s">
        <v>345</v>
      </c>
      <c r="B120" s="17">
        <v>0</v>
      </c>
      <c r="C120" s="17">
        <v>4.5</v>
      </c>
      <c r="D120" s="17">
        <v>5.6400000000000006</v>
      </c>
      <c r="E120" s="17">
        <v>0.1</v>
      </c>
      <c r="F120" s="17">
        <v>1.24</v>
      </c>
      <c r="G120" s="22">
        <f t="shared" si="1"/>
        <v>11.48</v>
      </c>
      <c r="H120" s="11" t="s">
        <v>255</v>
      </c>
      <c r="I120" s="24" t="str">
        <f>IFERROR(VLOOKUP($H120,'[1]Actual &amp; PO  Analysis 2020'!$A$4:$BJ$300,62,0),"")</f>
        <v/>
      </c>
      <c r="J120" s="24" t="str">
        <f>IFERROR(VLOOKUP($H120,'[1]Actual &amp; PO  Analysis 2020'!$A$4:$BP$300,68,0),"")</f>
        <v/>
      </c>
      <c r="K120" s="24" t="str">
        <f>IFERROR(VLOOKUP($H120,'[1]Actual &amp; PO  Analysis 2020'!$A$4:$BV$300,74,0),"")</f>
        <v/>
      </c>
      <c r="L120" s="24" t="str">
        <f>IFERROR(VLOOKUP($H120,'[1]Actual &amp; PO  Analysis 2020'!$A$4:$CB$300,80,0),"")</f>
        <v/>
      </c>
      <c r="M120" s="24" t="str">
        <f>IFERROR(VLOOKUP($H120,'[1]Actual &amp; PO  Analysis 2020'!$A$4:$CH$300,86,0),"")</f>
        <v/>
      </c>
      <c r="N120" s="25">
        <v>0</v>
      </c>
    </row>
    <row r="121" spans="1:14" x14ac:dyDescent="0.25">
      <c r="A121" s="11" t="s">
        <v>278</v>
      </c>
      <c r="B121" s="17">
        <v>0</v>
      </c>
      <c r="C121" s="17">
        <v>6.4749999999999996</v>
      </c>
      <c r="D121" s="17">
        <v>7.5860000000000003</v>
      </c>
      <c r="E121" s="17">
        <v>0.16400000000000001</v>
      </c>
      <c r="F121" s="17">
        <v>3.5270000000000001</v>
      </c>
      <c r="G121" s="22">
        <f t="shared" si="1"/>
        <v>17.751999999999999</v>
      </c>
      <c r="H121" s="11" t="s">
        <v>272</v>
      </c>
      <c r="I121" s="24" t="str">
        <f>IFERROR(VLOOKUP($H121,'[1]Actual &amp; PO  Analysis 2020'!$A$4:$BJ$300,62,0),"")</f>
        <v/>
      </c>
      <c r="J121" s="24" t="str">
        <f>IFERROR(VLOOKUP($H121,'[1]Actual &amp; PO  Analysis 2020'!$A$4:$BP$300,68,0),"")</f>
        <v/>
      </c>
      <c r="K121" s="24" t="str">
        <f>IFERROR(VLOOKUP($H121,'[1]Actual &amp; PO  Analysis 2020'!$A$4:$BV$300,74,0),"")</f>
        <v/>
      </c>
      <c r="L121" s="24" t="str">
        <f>IFERROR(VLOOKUP($H121,'[1]Actual &amp; PO  Analysis 2020'!$A$4:$CB$300,80,0),"")</f>
        <v/>
      </c>
      <c r="M121" s="24" t="str">
        <f>IFERROR(VLOOKUP($H121,'[1]Actual &amp; PO  Analysis 2020'!$A$4:$CH$300,86,0),"")</f>
        <v/>
      </c>
      <c r="N121" s="25">
        <v>0</v>
      </c>
    </row>
    <row r="122" spans="1:14" x14ac:dyDescent="0.25">
      <c r="A122" s="11" t="s">
        <v>326</v>
      </c>
      <c r="B122" s="17">
        <v>0</v>
      </c>
      <c r="C122" s="17">
        <v>4.5</v>
      </c>
      <c r="D122" s="17">
        <v>5.6400000000000006</v>
      </c>
      <c r="E122" s="17">
        <v>0.1</v>
      </c>
      <c r="F122" s="17">
        <v>1.24</v>
      </c>
      <c r="G122" s="22">
        <f t="shared" si="1"/>
        <v>11.48</v>
      </c>
      <c r="H122" s="11" t="s">
        <v>358</v>
      </c>
      <c r="I122" s="24" t="str">
        <f>IFERROR(VLOOKUP($H122,'[1]Actual &amp; PO  Analysis 2020'!$A$4:$BJ$300,62,0),"")</f>
        <v/>
      </c>
      <c r="J122" s="24" t="str">
        <f>IFERROR(VLOOKUP($H122,'[1]Actual &amp; PO  Analysis 2020'!$A$4:$BP$300,68,0),"")</f>
        <v/>
      </c>
      <c r="K122" s="24" t="str">
        <f>IFERROR(VLOOKUP($H122,'[1]Actual &amp; PO  Analysis 2020'!$A$4:$BV$300,74,0),"")</f>
        <v/>
      </c>
      <c r="L122" s="24" t="str">
        <f>IFERROR(VLOOKUP($H122,'[1]Actual &amp; PO  Analysis 2020'!$A$4:$CB$300,80,0),"")</f>
        <v/>
      </c>
      <c r="M122" s="24" t="str">
        <f>IFERROR(VLOOKUP($H122,'[1]Actual &amp; PO  Analysis 2020'!$A$4:$CH$300,86,0),"")</f>
        <v/>
      </c>
      <c r="N122" s="25">
        <v>0</v>
      </c>
    </row>
    <row r="123" spans="1:14" x14ac:dyDescent="0.25">
      <c r="A123" s="11" t="s">
        <v>259</v>
      </c>
      <c r="B123" s="17">
        <v>0</v>
      </c>
      <c r="C123" s="17">
        <v>3.96</v>
      </c>
      <c r="D123" s="17">
        <v>4.93</v>
      </c>
      <c r="E123" s="17">
        <v>0.1</v>
      </c>
      <c r="F123" s="17">
        <v>2.74</v>
      </c>
      <c r="G123" s="22">
        <f t="shared" si="1"/>
        <v>11.73</v>
      </c>
      <c r="H123" s="11" t="s">
        <v>344</v>
      </c>
      <c r="I123" s="24" t="str">
        <f>IFERROR(VLOOKUP($H123,'[1]Actual &amp; PO  Analysis 2020'!$A$4:$BJ$300,62,0),"")</f>
        <v/>
      </c>
      <c r="J123" s="24" t="str">
        <f>IFERROR(VLOOKUP($H123,'[1]Actual &amp; PO  Analysis 2020'!$A$4:$BP$300,68,0),"")</f>
        <v/>
      </c>
      <c r="K123" s="24" t="str">
        <f>IFERROR(VLOOKUP($H123,'[1]Actual &amp; PO  Analysis 2020'!$A$4:$BV$300,74,0),"")</f>
        <v/>
      </c>
      <c r="L123" s="24" t="str">
        <f>IFERROR(VLOOKUP($H123,'[1]Actual &amp; PO  Analysis 2020'!$A$4:$CB$300,80,0),"")</f>
        <v/>
      </c>
      <c r="M123" s="24" t="str">
        <f>IFERROR(VLOOKUP($H123,'[1]Actual &amp; PO  Analysis 2020'!$A$4:$CH$300,86,0),"")</f>
        <v/>
      </c>
      <c r="N123" s="25">
        <v>0</v>
      </c>
    </row>
    <row r="124" spans="1:14" x14ac:dyDescent="0.25">
      <c r="A124" s="11" t="s">
        <v>360</v>
      </c>
      <c r="B124" s="17">
        <v>0</v>
      </c>
      <c r="C124" s="17">
        <v>4.5</v>
      </c>
      <c r="D124" s="17">
        <v>5.6400000000000006</v>
      </c>
      <c r="E124" s="17">
        <v>0.1</v>
      </c>
      <c r="F124" s="17">
        <v>1.24</v>
      </c>
      <c r="G124" s="22">
        <f t="shared" si="1"/>
        <v>11.48</v>
      </c>
      <c r="H124" s="11" t="s">
        <v>345</v>
      </c>
      <c r="I124" s="24" t="str">
        <f>IFERROR(VLOOKUP($H124,'[1]Actual &amp; PO  Analysis 2020'!$A$4:$BJ$300,62,0),"")</f>
        <v/>
      </c>
      <c r="J124" s="24" t="str">
        <f>IFERROR(VLOOKUP($H124,'[1]Actual &amp; PO  Analysis 2020'!$A$4:$BP$300,68,0),"")</f>
        <v/>
      </c>
      <c r="K124" s="24" t="str">
        <f>IFERROR(VLOOKUP($H124,'[1]Actual &amp; PO  Analysis 2020'!$A$4:$BV$300,74,0),"")</f>
        <v/>
      </c>
      <c r="L124" s="24" t="str">
        <f>IFERROR(VLOOKUP($H124,'[1]Actual &amp; PO  Analysis 2020'!$A$4:$CB$300,80,0),"")</f>
        <v/>
      </c>
      <c r="M124" s="24" t="str">
        <f>IFERROR(VLOOKUP($H124,'[1]Actual &amp; PO  Analysis 2020'!$A$4:$CH$300,86,0),"")</f>
        <v/>
      </c>
      <c r="N124" s="25">
        <v>0</v>
      </c>
    </row>
    <row r="125" spans="1:14" x14ac:dyDescent="0.25">
      <c r="A125" s="23" t="s">
        <v>490</v>
      </c>
      <c r="B125" s="17">
        <v>0</v>
      </c>
      <c r="C125" s="17">
        <v>0</v>
      </c>
      <c r="D125" s="17">
        <v>0</v>
      </c>
      <c r="E125" s="17">
        <v>0</v>
      </c>
      <c r="F125" s="17">
        <v>0</v>
      </c>
      <c r="G125" s="22">
        <f t="shared" si="1"/>
        <v>0</v>
      </c>
      <c r="H125" s="11" t="s">
        <v>278</v>
      </c>
      <c r="I125" s="24" t="str">
        <f>IFERROR(VLOOKUP($H125,'[1]Actual &amp; PO  Analysis 2020'!$A$4:$BJ$300,62,0),"")</f>
        <v>0</v>
      </c>
      <c r="J125" s="24">
        <f>IFERROR(VLOOKUP($H125,'[1]Actual &amp; PO  Analysis 2020'!$A$4:$BP$300,68,0),"")</f>
        <v>2.202666666666667</v>
      </c>
      <c r="K125" s="24">
        <f>IFERROR(VLOOKUP($H125,'[1]Actual &amp; PO  Analysis 2020'!$A$4:$BV$300,74,0),"")</f>
        <v>6.2213333333333338</v>
      </c>
      <c r="L125" s="24">
        <f>IFERROR(VLOOKUP($H125,'[1]Actual &amp; PO  Analysis 2020'!$A$4:$CB$300,80,0),"")</f>
        <v>0.18166666666666667</v>
      </c>
      <c r="M125" s="24">
        <f>IFERROR(VLOOKUP($H125,'[1]Actual &amp; PO  Analysis 2020'!$A$4:$CH$300,86,0),"")</f>
        <v>2.5670000000000002</v>
      </c>
      <c r="N125" s="25">
        <v>11.843000000000002</v>
      </c>
    </row>
    <row r="126" spans="1:14" x14ac:dyDescent="0.25">
      <c r="A126" s="11" t="s">
        <v>362</v>
      </c>
      <c r="B126" s="17">
        <v>0</v>
      </c>
      <c r="C126" s="17">
        <v>5.8810000000000002</v>
      </c>
      <c r="D126" s="17">
        <v>7.3710000000000004</v>
      </c>
      <c r="E126" s="17">
        <v>0.13100000000000001</v>
      </c>
      <c r="F126" s="17">
        <v>1.62</v>
      </c>
      <c r="G126" s="22">
        <f t="shared" si="1"/>
        <v>15.003</v>
      </c>
      <c r="H126" s="11" t="s">
        <v>326</v>
      </c>
      <c r="I126" s="24" t="str">
        <f>IFERROR(VLOOKUP($H126,'[1]Actual &amp; PO  Analysis 2020'!$A$4:$BJ$300,62,0),"")</f>
        <v/>
      </c>
      <c r="J126" s="24" t="str">
        <f>IFERROR(VLOOKUP($H126,'[1]Actual &amp; PO  Analysis 2020'!$A$4:$BP$300,68,0),"")</f>
        <v/>
      </c>
      <c r="K126" s="24" t="str">
        <f>IFERROR(VLOOKUP($H126,'[1]Actual &amp; PO  Analysis 2020'!$A$4:$BV$300,74,0),"")</f>
        <v/>
      </c>
      <c r="L126" s="24" t="str">
        <f>IFERROR(VLOOKUP($H126,'[1]Actual &amp; PO  Analysis 2020'!$A$4:$CB$300,80,0),"")</f>
        <v/>
      </c>
      <c r="M126" s="24" t="str">
        <f>IFERROR(VLOOKUP($H126,'[1]Actual &amp; PO  Analysis 2020'!$A$4:$CH$300,86,0),"")</f>
        <v/>
      </c>
      <c r="N126" s="25">
        <v>0</v>
      </c>
    </row>
    <row r="127" spans="1:14" x14ac:dyDescent="0.25">
      <c r="A127" s="11" t="s">
        <v>480</v>
      </c>
      <c r="B127" s="17">
        <v>0</v>
      </c>
      <c r="C127" s="17">
        <v>1.2</v>
      </c>
      <c r="D127" s="17">
        <v>2.8</v>
      </c>
      <c r="E127" s="17">
        <v>0</v>
      </c>
      <c r="F127" s="17">
        <v>1.6</v>
      </c>
      <c r="G127" s="22">
        <f t="shared" si="1"/>
        <v>5.6</v>
      </c>
      <c r="H127" s="11" t="s">
        <v>259</v>
      </c>
      <c r="I127" s="24" t="str">
        <f>IFERROR(VLOOKUP($H127,'[1]Actual &amp; PO  Analysis 2020'!$A$4:$BJ$300,62,0),"")</f>
        <v>0</v>
      </c>
      <c r="J127" s="24">
        <f>IFERROR(VLOOKUP($H127,'[1]Actual &amp; PO  Analysis 2020'!$A$4:$BP$300,68,0),"")</f>
        <v>3.75</v>
      </c>
      <c r="K127" s="24">
        <f>IFERROR(VLOOKUP($H127,'[1]Actual &amp; PO  Analysis 2020'!$A$4:$BV$300,74,0),"")</f>
        <v>3.75</v>
      </c>
      <c r="L127" s="24">
        <f>IFERROR(VLOOKUP($H127,'[1]Actual &amp; PO  Analysis 2020'!$A$4:$CB$300,80,0),"")</f>
        <v>0.25</v>
      </c>
      <c r="M127" s="24">
        <f>IFERROR(VLOOKUP($H127,'[1]Actual &amp; PO  Analysis 2020'!$A$4:$CH$300,86,0),"")</f>
        <v>2.2000000000000002</v>
      </c>
      <c r="N127" s="25">
        <v>9.9499999999999993</v>
      </c>
    </row>
    <row r="128" spans="1:14" x14ac:dyDescent="0.25">
      <c r="A128" s="11" t="s">
        <v>481</v>
      </c>
      <c r="B128" s="17">
        <v>0</v>
      </c>
      <c r="C128" s="17">
        <v>1.24</v>
      </c>
      <c r="D128" s="17">
        <v>2.8</v>
      </c>
      <c r="E128" s="17">
        <v>0</v>
      </c>
      <c r="F128" s="17">
        <v>1.6</v>
      </c>
      <c r="G128" s="22">
        <f t="shared" si="1"/>
        <v>5.6400000000000006</v>
      </c>
      <c r="H128" s="11" t="s">
        <v>360</v>
      </c>
      <c r="I128" s="24" t="str">
        <f>IFERROR(VLOOKUP($H128,'[1]Actual &amp; PO  Analysis 2020'!$A$4:$BJ$300,62,0),"")</f>
        <v/>
      </c>
      <c r="J128" s="24" t="str">
        <f>IFERROR(VLOOKUP($H128,'[1]Actual &amp; PO  Analysis 2020'!$A$4:$BP$300,68,0),"")</f>
        <v/>
      </c>
      <c r="K128" s="24" t="str">
        <f>IFERROR(VLOOKUP($H128,'[1]Actual &amp; PO  Analysis 2020'!$A$4:$BV$300,74,0),"")</f>
        <v/>
      </c>
      <c r="L128" s="24" t="str">
        <f>IFERROR(VLOOKUP($H128,'[1]Actual &amp; PO  Analysis 2020'!$A$4:$CB$300,80,0),"")</f>
        <v/>
      </c>
      <c r="M128" s="24" t="str">
        <f>IFERROR(VLOOKUP($H128,'[1]Actual &amp; PO  Analysis 2020'!$A$4:$CH$300,86,0),"")</f>
        <v/>
      </c>
      <c r="N128" s="25">
        <v>0</v>
      </c>
    </row>
    <row r="129" spans="1:14" x14ac:dyDescent="0.25">
      <c r="A129" s="11" t="s">
        <v>482</v>
      </c>
      <c r="B129" s="17">
        <v>0</v>
      </c>
      <c r="C129" s="17">
        <v>1.26</v>
      </c>
      <c r="D129" s="17">
        <v>2.8</v>
      </c>
      <c r="E129" s="17">
        <v>0</v>
      </c>
      <c r="F129" s="17">
        <v>1.6</v>
      </c>
      <c r="G129" s="22">
        <f t="shared" si="1"/>
        <v>5.66</v>
      </c>
      <c r="H129" s="11" t="s">
        <v>490</v>
      </c>
      <c r="I129" s="24" t="str">
        <f>IFERROR(VLOOKUP($H129,'[1]Actual &amp; PO  Analysis 2020'!$A$4:$BJ$300,62,0),"")</f>
        <v/>
      </c>
      <c r="J129" s="24" t="str">
        <f>IFERROR(VLOOKUP($H129,'[1]Actual &amp; PO  Analysis 2020'!$A$4:$BP$300,68,0),"")</f>
        <v/>
      </c>
      <c r="K129" s="24" t="str">
        <f>IFERROR(VLOOKUP($H129,'[1]Actual &amp; PO  Analysis 2020'!$A$4:$BV$300,74,0),"")</f>
        <v/>
      </c>
      <c r="L129" s="24" t="str">
        <f>IFERROR(VLOOKUP($H129,'[1]Actual &amp; PO  Analysis 2020'!$A$4:$CB$300,80,0),"")</f>
        <v/>
      </c>
      <c r="M129" s="24" t="str">
        <f>IFERROR(VLOOKUP($H129,'[1]Actual &amp; PO  Analysis 2020'!$A$4:$CH$300,86,0),"")</f>
        <v/>
      </c>
      <c r="N129" s="25">
        <v>0</v>
      </c>
    </row>
    <row r="130" spans="1:14" x14ac:dyDescent="0.25">
      <c r="A130" s="11" t="s">
        <v>483</v>
      </c>
      <c r="B130" s="17">
        <v>0</v>
      </c>
      <c r="C130" s="17">
        <v>1.29</v>
      </c>
      <c r="D130" s="17">
        <v>2.8</v>
      </c>
      <c r="E130" s="17">
        <v>0</v>
      </c>
      <c r="F130" s="17">
        <v>1.6</v>
      </c>
      <c r="G130" s="22">
        <f t="shared" ref="G130:G193" si="2">SUM(B130:F130)</f>
        <v>5.6899999999999995</v>
      </c>
      <c r="H130" s="11" t="s">
        <v>362</v>
      </c>
      <c r="I130" s="24" t="str">
        <f>IFERROR(VLOOKUP($H130,'[1]Actual &amp; PO  Analysis 2020'!$A$4:$BJ$300,62,0),"")</f>
        <v/>
      </c>
      <c r="J130" s="24" t="str">
        <f>IFERROR(VLOOKUP($H130,'[1]Actual &amp; PO  Analysis 2020'!$A$4:$BP$300,68,0),"")</f>
        <v/>
      </c>
      <c r="K130" s="24" t="str">
        <f>IFERROR(VLOOKUP($H130,'[1]Actual &amp; PO  Analysis 2020'!$A$4:$BV$300,74,0),"")</f>
        <v/>
      </c>
      <c r="L130" s="24" t="str">
        <f>IFERROR(VLOOKUP($H130,'[1]Actual &amp; PO  Analysis 2020'!$A$4:$CB$300,80,0),"")</f>
        <v/>
      </c>
      <c r="M130" s="24" t="str">
        <f>IFERROR(VLOOKUP($H130,'[1]Actual &amp; PO  Analysis 2020'!$A$4:$CH$300,86,0),"")</f>
        <v/>
      </c>
      <c r="N130" s="25">
        <v>0</v>
      </c>
    </row>
    <row r="131" spans="1:14" x14ac:dyDescent="0.25">
      <c r="A131" s="11" t="s">
        <v>484</v>
      </c>
      <c r="B131" s="17">
        <v>0</v>
      </c>
      <c r="C131" s="17">
        <v>1.33</v>
      </c>
      <c r="D131" s="17">
        <v>2.8</v>
      </c>
      <c r="E131" s="17">
        <v>0</v>
      </c>
      <c r="F131" s="17">
        <v>1.6</v>
      </c>
      <c r="G131" s="22">
        <f t="shared" si="2"/>
        <v>5.73</v>
      </c>
      <c r="H131" s="11" t="s">
        <v>480</v>
      </c>
      <c r="I131" s="24" t="str">
        <f>IFERROR(VLOOKUP($H131,'[1]Actual &amp; PO  Analysis 2020'!$A$4:$BJ$300,62,0),"")</f>
        <v>0</v>
      </c>
      <c r="J131" s="24">
        <f>IFERROR(VLOOKUP($H131,'[1]Actual &amp; PO  Analysis 2020'!$A$4:$BP$300,68,0),"")</f>
        <v>3.4359999999999999</v>
      </c>
      <c r="K131" s="24">
        <f>IFERROR(VLOOKUP($H131,'[1]Actual &amp; PO  Analysis 2020'!$A$4:$BV$300,74,0),"")</f>
        <v>9.5175000000000001</v>
      </c>
      <c r="L131" s="24">
        <f>IFERROR(VLOOKUP($H131,'[1]Actual &amp; PO  Analysis 2020'!$A$4:$CB$300,80,0),"")</f>
        <v>0.16249999999999998</v>
      </c>
      <c r="M131" s="24">
        <f>IFERROR(VLOOKUP($H131,'[1]Actual &amp; PO  Analysis 2020'!$A$4:$CH$300,86,0),"")</f>
        <v>3.3129999999999997</v>
      </c>
      <c r="N131" s="25">
        <v>16.428999999999998</v>
      </c>
    </row>
    <row r="132" spans="1:14" x14ac:dyDescent="0.25">
      <c r="A132" s="11" t="s">
        <v>493</v>
      </c>
      <c r="B132" s="17">
        <v>0</v>
      </c>
      <c r="C132" s="17">
        <v>0</v>
      </c>
      <c r="D132" s="17">
        <v>0</v>
      </c>
      <c r="E132" s="17">
        <v>0</v>
      </c>
      <c r="F132" s="17">
        <v>0</v>
      </c>
      <c r="G132" s="22">
        <f t="shared" si="2"/>
        <v>0</v>
      </c>
      <c r="H132" s="11" t="s">
        <v>481</v>
      </c>
      <c r="I132" s="24" t="str">
        <f>IFERROR(VLOOKUP($H132,'[1]Actual &amp; PO  Analysis 2020'!$A$4:$BJ$300,62,0),"")</f>
        <v>0</v>
      </c>
      <c r="J132" s="24">
        <f>IFERROR(VLOOKUP($H132,'[1]Actual &amp; PO  Analysis 2020'!$A$4:$BP$300,68,0),"")</f>
        <v>5.0385</v>
      </c>
      <c r="K132" s="24">
        <f>IFERROR(VLOOKUP($H132,'[1]Actual &amp; PO  Analysis 2020'!$A$4:$BV$300,74,0),"")</f>
        <v>6.0374999999999996</v>
      </c>
      <c r="L132" s="24">
        <f>IFERROR(VLOOKUP($H132,'[1]Actual &amp; PO  Analysis 2020'!$A$4:$CB$300,80,0),"")</f>
        <v>0.17249999999999999</v>
      </c>
      <c r="M132" s="24">
        <f>IFERROR(VLOOKUP($H132,'[1]Actual &amp; PO  Analysis 2020'!$A$4:$CH$300,86,0),"")</f>
        <v>3.5030000000000001</v>
      </c>
      <c r="N132" s="25">
        <v>19.930999999999997</v>
      </c>
    </row>
    <row r="133" spans="1:14" x14ac:dyDescent="0.25">
      <c r="A133" s="11" t="s">
        <v>499</v>
      </c>
      <c r="B133" s="17">
        <v>0</v>
      </c>
      <c r="C133" s="17">
        <v>0</v>
      </c>
      <c r="D133" s="17">
        <v>0</v>
      </c>
      <c r="E133" s="17">
        <v>0</v>
      </c>
      <c r="F133" s="17">
        <v>0</v>
      </c>
      <c r="G133" s="22">
        <f t="shared" si="2"/>
        <v>0</v>
      </c>
      <c r="H133" s="11" t="s">
        <v>482</v>
      </c>
      <c r="I133" s="24" t="str">
        <f>IFERROR(VLOOKUP($H133,'[1]Actual &amp; PO  Analysis 2020'!$A$4:$BJ$300,62,0),"")</f>
        <v>0</v>
      </c>
      <c r="J133" s="24">
        <f>IFERROR(VLOOKUP($H133,'[1]Actual &amp; PO  Analysis 2020'!$A$4:$BP$300,68,0),"")</f>
        <v>3.6637500000000003</v>
      </c>
      <c r="K133" s="24">
        <f>IFERROR(VLOOKUP($H133,'[1]Actual &amp; PO  Analysis 2020'!$A$4:$BV$300,74,0),"")</f>
        <v>11.520250000000001</v>
      </c>
      <c r="L133" s="24">
        <f>IFERROR(VLOOKUP($H133,'[1]Actual &amp; PO  Analysis 2020'!$A$4:$CB$300,80,0),"")</f>
        <v>0.17449999999999999</v>
      </c>
      <c r="M133" s="24">
        <f>IFERROR(VLOOKUP($H133,'[1]Actual &amp; PO  Analysis 2020'!$A$4:$CH$300,86,0),"")</f>
        <v>3.1048</v>
      </c>
      <c r="N133" s="25">
        <v>21.63816666666667</v>
      </c>
    </row>
    <row r="134" spans="1:14" x14ac:dyDescent="0.25">
      <c r="A134" s="11" t="s">
        <v>488</v>
      </c>
      <c r="B134" s="17">
        <v>0</v>
      </c>
      <c r="C134" s="17">
        <v>1.0900000000000001</v>
      </c>
      <c r="D134" s="17">
        <v>3</v>
      </c>
      <c r="E134" s="17">
        <v>0</v>
      </c>
      <c r="F134" s="17">
        <v>1.8</v>
      </c>
      <c r="G134" s="22">
        <f t="shared" si="2"/>
        <v>5.89</v>
      </c>
      <c r="H134" s="11" t="s">
        <v>483</v>
      </c>
      <c r="I134" s="24" t="str">
        <f>IFERROR(VLOOKUP($H134,'[1]Actual &amp; PO  Analysis 2020'!$A$4:$BJ$300,62,0),"")</f>
        <v>0</v>
      </c>
      <c r="J134" s="24">
        <f>IFERROR(VLOOKUP($H134,'[1]Actual &amp; PO  Analysis 2020'!$A$4:$BP$300,68,0),"")</f>
        <v>2.6852499999999999</v>
      </c>
      <c r="K134" s="24">
        <f>IFERROR(VLOOKUP($H134,'[1]Actual &amp; PO  Analysis 2020'!$A$4:$BV$300,74,0),"")</f>
        <v>7.29</v>
      </c>
      <c r="L134" s="24">
        <f>IFERROR(VLOOKUP($H134,'[1]Actual &amp; PO  Analysis 2020'!$A$4:$CB$300,80,0),"")</f>
        <v>0.18533333333333335</v>
      </c>
      <c r="M134" s="24">
        <f>IFERROR(VLOOKUP($H134,'[1]Actual &amp; PO  Analysis 2020'!$A$4:$CH$300,86,0),"")</f>
        <v>2.3770000000000002</v>
      </c>
      <c r="N134" s="25">
        <v>13.955500000000001</v>
      </c>
    </row>
    <row r="135" spans="1:14" x14ac:dyDescent="0.25">
      <c r="A135" s="11" t="s">
        <v>485</v>
      </c>
      <c r="B135" s="17">
        <v>0</v>
      </c>
      <c r="C135" s="17">
        <v>1.1000000000000001</v>
      </c>
      <c r="D135" s="17">
        <v>3</v>
      </c>
      <c r="E135" s="17">
        <v>0</v>
      </c>
      <c r="F135" s="17">
        <v>1.8</v>
      </c>
      <c r="G135" s="22">
        <f t="shared" si="2"/>
        <v>5.8999999999999995</v>
      </c>
      <c r="H135" s="11" t="s">
        <v>484</v>
      </c>
      <c r="I135" s="24" t="str">
        <f>IFERROR(VLOOKUP($H135,'[1]Actual &amp; PO  Analysis 2020'!$A$4:$BJ$300,62,0),"")</f>
        <v>0</v>
      </c>
      <c r="J135" s="24">
        <f>IFERROR(VLOOKUP($H135,'[1]Actual &amp; PO  Analysis 2020'!$A$4:$BP$300,68,0),"")</f>
        <v>1.998</v>
      </c>
      <c r="K135" s="24">
        <f>IFERROR(VLOOKUP($H135,'[1]Actual &amp; PO  Analysis 2020'!$A$4:$BV$300,74,0),"")</f>
        <v>6.1944999999999997</v>
      </c>
      <c r="L135" s="24">
        <f>IFERROR(VLOOKUP($H135,'[1]Actual &amp; PO  Analysis 2020'!$A$4:$CB$300,80,0),"")</f>
        <v>0.20699999999999999</v>
      </c>
      <c r="M135" s="24">
        <f>IFERROR(VLOOKUP($H135,'[1]Actual &amp; PO  Analysis 2020'!$A$4:$CH$300,86,0),"")</f>
        <v>2.0949999999999998</v>
      </c>
      <c r="N135" s="25">
        <v>8.8010000000000002</v>
      </c>
    </row>
    <row r="136" spans="1:14" x14ac:dyDescent="0.25">
      <c r="A136" s="11" t="s">
        <v>486</v>
      </c>
      <c r="B136" s="17">
        <v>0</v>
      </c>
      <c r="C136" s="17">
        <v>1.1499999999999999</v>
      </c>
      <c r="D136" s="17">
        <v>3</v>
      </c>
      <c r="E136" s="17">
        <v>0</v>
      </c>
      <c r="F136" s="17">
        <v>1.8</v>
      </c>
      <c r="G136" s="22">
        <f t="shared" si="2"/>
        <v>5.95</v>
      </c>
      <c r="H136" s="11" t="s">
        <v>493</v>
      </c>
      <c r="I136" s="24" t="str">
        <f>IFERROR(VLOOKUP($H136,'[1]Actual &amp; PO  Analysis 2020'!$A$4:$BJ$300,62,0),"")</f>
        <v/>
      </c>
      <c r="J136" s="24" t="str">
        <f>IFERROR(VLOOKUP($H136,'[1]Actual &amp; PO  Analysis 2020'!$A$4:$BP$300,68,0),"")</f>
        <v/>
      </c>
      <c r="K136" s="24" t="str">
        <f>IFERROR(VLOOKUP($H136,'[1]Actual &amp; PO  Analysis 2020'!$A$4:$BV$300,74,0),"")</f>
        <v/>
      </c>
      <c r="L136" s="24" t="str">
        <f>IFERROR(VLOOKUP($H136,'[1]Actual &amp; PO  Analysis 2020'!$A$4:$CB$300,80,0),"")</f>
        <v/>
      </c>
      <c r="M136" s="24" t="str">
        <f>IFERROR(VLOOKUP($H136,'[1]Actual &amp; PO  Analysis 2020'!$A$4:$CH$300,86,0),"")</f>
        <v/>
      </c>
      <c r="N136" s="25">
        <v>0</v>
      </c>
    </row>
    <row r="137" spans="1:14" x14ac:dyDescent="0.25">
      <c r="A137" s="11" t="s">
        <v>487</v>
      </c>
      <c r="B137" s="17">
        <v>0</v>
      </c>
      <c r="C137" s="17">
        <v>1.23</v>
      </c>
      <c r="D137" s="17">
        <v>3</v>
      </c>
      <c r="E137" s="17">
        <v>0</v>
      </c>
      <c r="F137" s="17">
        <v>1.8</v>
      </c>
      <c r="G137" s="22">
        <f t="shared" si="2"/>
        <v>6.03</v>
      </c>
      <c r="H137" s="11" t="s">
        <v>499</v>
      </c>
      <c r="I137" s="24" t="str">
        <f>IFERROR(VLOOKUP($H137,'[1]Actual &amp; PO  Analysis 2020'!$A$4:$BJ$300,62,0),"")</f>
        <v>0</v>
      </c>
      <c r="J137" s="24">
        <f>IFERROR(VLOOKUP($H137,'[1]Actual &amp; PO  Analysis 2020'!$A$4:$BP$300,68,0),"")</f>
        <v>7.1189999999999998</v>
      </c>
      <c r="K137" s="24">
        <f>IFERROR(VLOOKUP($H137,'[1]Actual &amp; PO  Analysis 2020'!$A$4:$BV$300,74,0),"")</f>
        <v>7.8710000000000004</v>
      </c>
      <c r="L137" s="24">
        <f>IFERROR(VLOOKUP($H137,'[1]Actual &amp; PO  Analysis 2020'!$A$4:$CB$300,80,0),"")</f>
        <v>0.32</v>
      </c>
      <c r="M137" s="24">
        <f>IFERROR(VLOOKUP($H137,'[1]Actual &amp; PO  Analysis 2020'!$A$4:$CH$300,86,0),"")</f>
        <v>2.8754999999999997</v>
      </c>
      <c r="N137" s="25">
        <v>18.185500000000001</v>
      </c>
    </row>
    <row r="138" spans="1:14" x14ac:dyDescent="0.25">
      <c r="A138" s="11" t="s">
        <v>370</v>
      </c>
      <c r="B138" s="17">
        <v>0</v>
      </c>
      <c r="C138" s="17">
        <v>2.84</v>
      </c>
      <c r="D138" s="17">
        <v>4.7699999999999996</v>
      </c>
      <c r="E138" s="17">
        <v>0.1</v>
      </c>
      <c r="F138" s="17">
        <v>1.54</v>
      </c>
      <c r="G138" s="22">
        <f t="shared" si="2"/>
        <v>9.25</v>
      </c>
      <c r="H138" s="11" t="s">
        <v>488</v>
      </c>
      <c r="I138" s="24" t="str">
        <f>IFERROR(VLOOKUP($H138,'[1]Actual &amp; PO  Analysis 2020'!$A$4:$BJ$300,62,0),"")</f>
        <v>0</v>
      </c>
      <c r="J138" s="24">
        <f>IFERROR(VLOOKUP($H138,'[1]Actual &amp; PO  Analysis 2020'!$A$4:$BP$300,68,0),"")</f>
        <v>2.2755000000000001</v>
      </c>
      <c r="K138" s="24">
        <f>IFERROR(VLOOKUP($H138,'[1]Actual &amp; PO  Analysis 2020'!$A$4:$BV$300,74,0),"")</f>
        <v>6.6704999999999997</v>
      </c>
      <c r="L138" s="24">
        <f>IFERROR(VLOOKUP($H138,'[1]Actual &amp; PO  Analysis 2020'!$A$4:$CB$300,80,0),"")</f>
        <v>0.20250000000000001</v>
      </c>
      <c r="M138" s="24">
        <f>IFERROR(VLOOKUP($H138,'[1]Actual &amp; PO  Analysis 2020'!$A$4:$CH$300,86,0),"")</f>
        <v>2.3730000000000002</v>
      </c>
      <c r="N138" s="25">
        <v>13.193000000000001</v>
      </c>
    </row>
    <row r="139" spans="1:14" x14ac:dyDescent="0.25">
      <c r="A139" s="11" t="s">
        <v>402</v>
      </c>
      <c r="B139" s="17">
        <v>0</v>
      </c>
      <c r="C139" s="17">
        <v>14.281000000000001</v>
      </c>
      <c r="D139" s="17">
        <v>7.8539999999999992</v>
      </c>
      <c r="E139" s="17">
        <v>0.11899999999999999</v>
      </c>
      <c r="F139" s="17">
        <v>2.746</v>
      </c>
      <c r="G139" s="22">
        <f t="shared" si="2"/>
        <v>24.999999999999996</v>
      </c>
      <c r="H139" s="11" t="s">
        <v>485</v>
      </c>
      <c r="I139" s="24" t="str">
        <f>IFERROR(VLOOKUP($H139,'[1]Actual &amp; PO  Analysis 2020'!$A$4:$BJ$300,62,0),"")</f>
        <v>0</v>
      </c>
      <c r="J139" s="24">
        <f>IFERROR(VLOOKUP($H139,'[1]Actual &amp; PO  Analysis 2020'!$A$4:$BP$300,68,0),"")</f>
        <v>4.47</v>
      </c>
      <c r="K139" s="24">
        <f>IFERROR(VLOOKUP($H139,'[1]Actual &amp; PO  Analysis 2020'!$A$4:$BV$300,74,0),"")</f>
        <v>10.166</v>
      </c>
      <c r="L139" s="24">
        <f>IFERROR(VLOOKUP($H139,'[1]Actual &amp; PO  Analysis 2020'!$A$4:$CB$300,80,0),"")</f>
        <v>0.16700000000000001</v>
      </c>
      <c r="M139" s="24">
        <f>IFERROR(VLOOKUP($H139,'[1]Actual &amp; PO  Analysis 2020'!$A$4:$CH$300,86,0),"")</f>
        <v>2.11</v>
      </c>
      <c r="N139" s="25">
        <v>16.913</v>
      </c>
    </row>
    <row r="140" spans="1:14" x14ac:dyDescent="0.25">
      <c r="A140" s="11" t="s">
        <v>448</v>
      </c>
      <c r="B140" s="17">
        <v>0</v>
      </c>
      <c r="C140" s="17">
        <v>2.46</v>
      </c>
      <c r="D140" s="17">
        <v>1.33</v>
      </c>
      <c r="E140" s="17">
        <v>0</v>
      </c>
      <c r="F140" s="17">
        <v>1.07</v>
      </c>
      <c r="G140" s="22">
        <f t="shared" si="2"/>
        <v>4.8600000000000003</v>
      </c>
      <c r="H140" s="11" t="s">
        <v>486</v>
      </c>
      <c r="I140" s="24" t="str">
        <f>IFERROR(VLOOKUP($H140,'[1]Actual &amp; PO  Analysis 2020'!$A$4:$BJ$300,62,0),"")</f>
        <v>0</v>
      </c>
      <c r="J140" s="24" t="str">
        <f>IFERROR(VLOOKUP($H140,'[1]Actual &amp; PO  Analysis 2020'!$A$4:$BP$300,68,0),"")</f>
        <v>0</v>
      </c>
      <c r="K140" s="24">
        <f>IFERROR(VLOOKUP($H140,'[1]Actual &amp; PO  Analysis 2020'!$A$4:$BV$300,74,0),"")</f>
        <v>9.1219999999999999</v>
      </c>
      <c r="L140" s="24">
        <f>IFERROR(VLOOKUP($H140,'[1]Actual &amp; PO  Analysis 2020'!$A$4:$CB$300,80,0),"")</f>
        <v>0.154</v>
      </c>
      <c r="M140" s="24">
        <f>IFERROR(VLOOKUP($H140,'[1]Actual &amp; PO  Analysis 2020'!$A$4:$CH$300,86,0),"")</f>
        <v>3.51</v>
      </c>
      <c r="N140" s="25">
        <v>12.786</v>
      </c>
    </row>
    <row r="141" spans="1:14" x14ac:dyDescent="0.25">
      <c r="A141" s="11" t="s">
        <v>444</v>
      </c>
      <c r="B141" s="17">
        <v>0</v>
      </c>
      <c r="C141" s="17">
        <v>6.23</v>
      </c>
      <c r="D141" s="17">
        <v>3.38</v>
      </c>
      <c r="E141" s="17">
        <v>0</v>
      </c>
      <c r="F141" s="17">
        <v>0.80100000000000005</v>
      </c>
      <c r="G141" s="22">
        <f t="shared" si="2"/>
        <v>10.411</v>
      </c>
      <c r="H141" s="11" t="s">
        <v>487</v>
      </c>
      <c r="I141" s="24" t="str">
        <f>IFERROR(VLOOKUP($H141,'[1]Actual &amp; PO  Analysis 2020'!$A$4:$BJ$300,62,0),"")</f>
        <v>0</v>
      </c>
      <c r="J141" s="24">
        <f>IFERROR(VLOOKUP($H141,'[1]Actual &amp; PO  Analysis 2020'!$A$4:$BP$300,68,0),"")</f>
        <v>5.3380000000000001</v>
      </c>
      <c r="K141" s="24">
        <f>IFERROR(VLOOKUP($H141,'[1]Actual &amp; PO  Analysis 2020'!$A$4:$BV$300,74,0),"")</f>
        <v>11.4415</v>
      </c>
      <c r="L141" s="24">
        <f>IFERROR(VLOOKUP($H141,'[1]Actual &amp; PO  Analysis 2020'!$A$4:$CB$300,80,0),"")</f>
        <v>0.17299999999999999</v>
      </c>
      <c r="M141" s="24">
        <f>IFERROR(VLOOKUP($H141,'[1]Actual &amp; PO  Analysis 2020'!$A$4:$CH$300,86,0),"")</f>
        <v>2.931</v>
      </c>
      <c r="N141" s="25">
        <v>19.883499999999998</v>
      </c>
    </row>
    <row r="142" spans="1:14" x14ac:dyDescent="0.25">
      <c r="A142" s="11" t="s">
        <v>128</v>
      </c>
      <c r="B142" s="17">
        <v>0</v>
      </c>
      <c r="C142" s="17">
        <v>1.79</v>
      </c>
      <c r="D142" s="17">
        <v>2.1259999999999999</v>
      </c>
      <c r="E142" s="17">
        <v>0.112</v>
      </c>
      <c r="F142" s="17">
        <v>0.72699999999999998</v>
      </c>
      <c r="G142" s="22">
        <f t="shared" si="2"/>
        <v>4.7549999999999999</v>
      </c>
      <c r="H142" s="11" t="s">
        <v>370</v>
      </c>
      <c r="I142" s="24" t="str">
        <f>IFERROR(VLOOKUP($H142,'[1]Actual &amp; PO  Analysis 2020'!$A$4:$BJ$300,62,0),"")</f>
        <v/>
      </c>
      <c r="J142" s="24" t="str">
        <f>IFERROR(VLOOKUP($H142,'[1]Actual &amp; PO  Analysis 2020'!$A$4:$BP$300,68,0),"")</f>
        <v/>
      </c>
      <c r="K142" s="24" t="str">
        <f>IFERROR(VLOOKUP($H142,'[1]Actual &amp; PO  Analysis 2020'!$A$4:$BV$300,74,0),"")</f>
        <v/>
      </c>
      <c r="L142" s="24" t="str">
        <f>IFERROR(VLOOKUP($H142,'[1]Actual &amp; PO  Analysis 2020'!$A$4:$CB$300,80,0),"")</f>
        <v/>
      </c>
      <c r="M142" s="24" t="str">
        <f>IFERROR(VLOOKUP($H142,'[1]Actual &amp; PO  Analysis 2020'!$A$4:$CH$300,86,0),"")</f>
        <v/>
      </c>
      <c r="N142" s="25">
        <v>0</v>
      </c>
    </row>
    <row r="143" spans="1:14" x14ac:dyDescent="0.25">
      <c r="A143" s="11" t="s">
        <v>177</v>
      </c>
      <c r="B143" s="17">
        <v>0</v>
      </c>
      <c r="C143" s="17">
        <v>3.1139999999999999</v>
      </c>
      <c r="D143" s="17">
        <v>2.899</v>
      </c>
      <c r="E143" s="17">
        <v>0</v>
      </c>
      <c r="F143" s="17">
        <v>0.78700000000000003</v>
      </c>
      <c r="G143" s="22">
        <f t="shared" si="2"/>
        <v>6.8</v>
      </c>
      <c r="H143" s="11" t="s">
        <v>402</v>
      </c>
      <c r="I143" s="24" t="str">
        <f>IFERROR(VLOOKUP($H143,'[1]Actual &amp; PO  Analysis 2020'!$A$4:$BJ$300,62,0),"")</f>
        <v/>
      </c>
      <c r="J143" s="24" t="str">
        <f>IFERROR(VLOOKUP($H143,'[1]Actual &amp; PO  Analysis 2020'!$A$4:$BP$300,68,0),"")</f>
        <v/>
      </c>
      <c r="K143" s="24" t="str">
        <f>IFERROR(VLOOKUP($H143,'[1]Actual &amp; PO  Analysis 2020'!$A$4:$BV$300,74,0),"")</f>
        <v/>
      </c>
      <c r="L143" s="24" t="str">
        <f>IFERROR(VLOOKUP($H143,'[1]Actual &amp; PO  Analysis 2020'!$A$4:$CB$300,80,0),"")</f>
        <v/>
      </c>
      <c r="M143" s="24" t="str">
        <f>IFERROR(VLOOKUP($H143,'[1]Actual &amp; PO  Analysis 2020'!$A$4:$CH$300,86,0),"")</f>
        <v/>
      </c>
      <c r="N143" s="25">
        <v>0</v>
      </c>
    </row>
    <row r="144" spans="1:14" x14ac:dyDescent="0.25">
      <c r="A144" s="11" t="s">
        <v>433</v>
      </c>
      <c r="B144" s="17">
        <v>0</v>
      </c>
      <c r="C144" s="17">
        <v>4.2</v>
      </c>
      <c r="D144" s="17">
        <v>2.17</v>
      </c>
      <c r="E144" s="17">
        <v>0</v>
      </c>
      <c r="F144" s="17">
        <v>0.8</v>
      </c>
      <c r="G144" s="22">
        <f t="shared" si="2"/>
        <v>7.17</v>
      </c>
      <c r="H144" s="11" t="s">
        <v>448</v>
      </c>
      <c r="I144" s="24" t="str">
        <f>IFERROR(VLOOKUP($H144,'[1]Actual &amp; PO  Analysis 2020'!$A$4:$BJ$300,62,0),"")</f>
        <v/>
      </c>
      <c r="J144" s="24" t="str">
        <f>IFERROR(VLOOKUP($H144,'[1]Actual &amp; PO  Analysis 2020'!$A$4:$BP$300,68,0),"")</f>
        <v/>
      </c>
      <c r="K144" s="24" t="str">
        <f>IFERROR(VLOOKUP($H144,'[1]Actual &amp; PO  Analysis 2020'!$A$4:$BV$300,74,0),"")</f>
        <v/>
      </c>
      <c r="L144" s="24" t="str">
        <f>IFERROR(VLOOKUP($H144,'[1]Actual &amp; PO  Analysis 2020'!$A$4:$CB$300,80,0),"")</f>
        <v/>
      </c>
      <c r="M144" s="24" t="str">
        <f>IFERROR(VLOOKUP($H144,'[1]Actual &amp; PO  Analysis 2020'!$A$4:$CH$300,86,0),"")</f>
        <v/>
      </c>
      <c r="N144" s="25">
        <v>0</v>
      </c>
    </row>
    <row r="145" spans="1:14" x14ac:dyDescent="0.25">
      <c r="A145" s="11" t="s">
        <v>46</v>
      </c>
      <c r="B145" s="17">
        <v>0</v>
      </c>
      <c r="C145" s="17">
        <v>2.7</v>
      </c>
      <c r="D145" s="17">
        <v>3.0700000000000003</v>
      </c>
      <c r="E145" s="17">
        <v>0.1</v>
      </c>
      <c r="F145" s="17">
        <v>0.72</v>
      </c>
      <c r="G145" s="22">
        <f t="shared" si="2"/>
        <v>6.59</v>
      </c>
      <c r="H145" s="11" t="s">
        <v>444</v>
      </c>
      <c r="I145" s="24" t="str">
        <f>IFERROR(VLOOKUP($H145,'[1]Actual &amp; PO  Analysis 2020'!$A$4:$BJ$300,62,0),"")</f>
        <v/>
      </c>
      <c r="J145" s="24" t="str">
        <f>IFERROR(VLOOKUP($H145,'[1]Actual &amp; PO  Analysis 2020'!$A$4:$BP$300,68,0),"")</f>
        <v/>
      </c>
      <c r="K145" s="24" t="str">
        <f>IFERROR(VLOOKUP($H145,'[1]Actual &amp; PO  Analysis 2020'!$A$4:$BV$300,74,0),"")</f>
        <v/>
      </c>
      <c r="L145" s="24" t="str">
        <f>IFERROR(VLOOKUP($H145,'[1]Actual &amp; PO  Analysis 2020'!$A$4:$CB$300,80,0),"")</f>
        <v/>
      </c>
      <c r="M145" s="24" t="str">
        <f>IFERROR(VLOOKUP($H145,'[1]Actual &amp; PO  Analysis 2020'!$A$4:$CH$300,86,0),"")</f>
        <v/>
      </c>
      <c r="N145" s="25">
        <v>0</v>
      </c>
    </row>
    <row r="146" spans="1:14" x14ac:dyDescent="0.25">
      <c r="A146" s="11" t="s">
        <v>41</v>
      </c>
      <c r="B146" s="17">
        <v>0</v>
      </c>
      <c r="C146" s="17">
        <v>2.1</v>
      </c>
      <c r="D146" s="17">
        <v>3.3499999999999996</v>
      </c>
      <c r="E146" s="17">
        <v>0.2</v>
      </c>
      <c r="F146" s="17">
        <v>0.86</v>
      </c>
      <c r="G146" s="22">
        <f t="shared" si="2"/>
        <v>6.51</v>
      </c>
      <c r="H146" s="11" t="s">
        <v>128</v>
      </c>
      <c r="I146" s="24" t="str">
        <f>IFERROR(VLOOKUP($H146,'[1]Actual &amp; PO  Analysis 2020'!$A$4:$BJ$300,62,0),"")</f>
        <v>0</v>
      </c>
      <c r="J146" s="24">
        <f>IFERROR(VLOOKUP($H146,'[1]Actual &amp; PO  Analysis 2020'!$A$4:$BP$300,68,0),"")</f>
        <v>0.89850000000000008</v>
      </c>
      <c r="K146" s="24">
        <f>IFERROR(VLOOKUP($H146,'[1]Actual &amp; PO  Analysis 2020'!$A$4:$BV$300,74,0),"")</f>
        <v>3.6582499999999998</v>
      </c>
      <c r="L146" s="24">
        <f>IFERROR(VLOOKUP($H146,'[1]Actual &amp; PO  Analysis 2020'!$A$4:$CB$300,80,0),"")</f>
        <v>0.23949999999999999</v>
      </c>
      <c r="M146" s="24">
        <f>IFERROR(VLOOKUP($H146,'[1]Actual &amp; PO  Analysis 2020'!$A$4:$CH$300,86,0),"")</f>
        <v>1.1368</v>
      </c>
      <c r="N146" s="25">
        <v>6.2722499999999997</v>
      </c>
    </row>
    <row r="147" spans="1:14" x14ac:dyDescent="0.25">
      <c r="A147" s="11" t="s">
        <v>40</v>
      </c>
      <c r="B147" s="17">
        <v>0</v>
      </c>
      <c r="C147" s="17">
        <v>2.3170000000000002</v>
      </c>
      <c r="D147" s="17">
        <v>3.8840000000000003</v>
      </c>
      <c r="E147" s="17">
        <v>0.14699999999999999</v>
      </c>
      <c r="F147" s="17">
        <v>0.95299999999999996</v>
      </c>
      <c r="G147" s="22">
        <f t="shared" si="2"/>
        <v>7.301000000000001</v>
      </c>
      <c r="H147" s="11" t="s">
        <v>177</v>
      </c>
      <c r="I147" s="24" t="str">
        <f>IFERROR(VLOOKUP($H147,'[1]Actual &amp; PO  Analysis 2020'!$A$4:$BJ$300,62,0),"")</f>
        <v/>
      </c>
      <c r="J147" s="24" t="str">
        <f>IFERROR(VLOOKUP($H147,'[1]Actual &amp; PO  Analysis 2020'!$A$4:$BP$300,68,0),"")</f>
        <v/>
      </c>
      <c r="K147" s="24" t="str">
        <f>IFERROR(VLOOKUP($H147,'[1]Actual &amp; PO  Analysis 2020'!$A$4:$BV$300,74,0),"")</f>
        <v/>
      </c>
      <c r="L147" s="24" t="str">
        <f>IFERROR(VLOOKUP($H147,'[1]Actual &amp; PO  Analysis 2020'!$A$4:$CB$300,80,0),"")</f>
        <v/>
      </c>
      <c r="M147" s="24" t="str">
        <f>IFERROR(VLOOKUP($H147,'[1]Actual &amp; PO  Analysis 2020'!$A$4:$CH$300,86,0),"")</f>
        <v/>
      </c>
      <c r="N147" s="25">
        <v>0</v>
      </c>
    </row>
    <row r="148" spans="1:14" x14ac:dyDescent="0.25">
      <c r="A148" s="11" t="s">
        <v>208</v>
      </c>
      <c r="B148" s="17">
        <v>0</v>
      </c>
      <c r="C148" s="17">
        <v>0</v>
      </c>
      <c r="D148" s="17">
        <v>0</v>
      </c>
      <c r="E148" s="17">
        <v>0</v>
      </c>
      <c r="F148" s="17">
        <v>0</v>
      </c>
      <c r="G148" s="22">
        <f t="shared" si="2"/>
        <v>0</v>
      </c>
      <c r="H148" s="11" t="s">
        <v>433</v>
      </c>
      <c r="I148" s="24" t="str">
        <f>IFERROR(VLOOKUP($H148,'[1]Actual &amp; PO  Analysis 2020'!$A$4:$BJ$300,62,0),"")</f>
        <v/>
      </c>
      <c r="J148" s="24" t="str">
        <f>IFERROR(VLOOKUP($H148,'[1]Actual &amp; PO  Analysis 2020'!$A$4:$BP$300,68,0),"")</f>
        <v/>
      </c>
      <c r="K148" s="24" t="str">
        <f>IFERROR(VLOOKUP($H148,'[1]Actual &amp; PO  Analysis 2020'!$A$4:$BV$300,74,0),"")</f>
        <v/>
      </c>
      <c r="L148" s="24" t="str">
        <f>IFERROR(VLOOKUP($H148,'[1]Actual &amp; PO  Analysis 2020'!$A$4:$CB$300,80,0),"")</f>
        <v/>
      </c>
      <c r="M148" s="24" t="str">
        <f>IFERROR(VLOOKUP($H148,'[1]Actual &amp; PO  Analysis 2020'!$A$4:$CH$300,86,0),"")</f>
        <v/>
      </c>
      <c r="N148" s="25">
        <v>0</v>
      </c>
    </row>
    <row r="149" spans="1:14" x14ac:dyDescent="0.25">
      <c r="A149" s="11" t="s">
        <v>89</v>
      </c>
      <c r="B149" s="17">
        <v>0</v>
      </c>
      <c r="C149" s="17">
        <v>2.62</v>
      </c>
      <c r="D149" s="17">
        <v>7.1099999999999994</v>
      </c>
      <c r="E149" s="17">
        <v>0.1</v>
      </c>
      <c r="F149" s="17">
        <v>1.8</v>
      </c>
      <c r="G149" s="22">
        <f t="shared" si="2"/>
        <v>11.63</v>
      </c>
      <c r="H149" s="11" t="s">
        <v>46</v>
      </c>
      <c r="I149" s="24" t="str">
        <f>IFERROR(VLOOKUP($H149,'[1]Actual &amp; PO  Analysis 2020'!$A$4:$BJ$300,62,0),"")</f>
        <v/>
      </c>
      <c r="J149" s="24" t="str">
        <f>IFERROR(VLOOKUP($H149,'[1]Actual &amp; PO  Analysis 2020'!$A$4:$BP$300,68,0),"")</f>
        <v/>
      </c>
      <c r="K149" s="24" t="str">
        <f>IFERROR(VLOOKUP($H149,'[1]Actual &amp; PO  Analysis 2020'!$A$4:$BV$300,74,0),"")</f>
        <v/>
      </c>
      <c r="L149" s="24" t="str">
        <f>IFERROR(VLOOKUP($H149,'[1]Actual &amp; PO  Analysis 2020'!$A$4:$CB$300,80,0),"")</f>
        <v/>
      </c>
      <c r="M149" s="24" t="str">
        <f>IFERROR(VLOOKUP($H149,'[1]Actual &amp; PO  Analysis 2020'!$A$4:$CH$300,86,0),"")</f>
        <v/>
      </c>
      <c r="N149" s="25">
        <v>0</v>
      </c>
    </row>
    <row r="150" spans="1:14" x14ac:dyDescent="0.25">
      <c r="A150" s="11" t="s">
        <v>211</v>
      </c>
      <c r="B150" s="17">
        <v>0</v>
      </c>
      <c r="C150" s="17">
        <v>2.9790000000000001</v>
      </c>
      <c r="D150" s="17">
        <v>3.83</v>
      </c>
      <c r="E150" s="17">
        <v>0.122</v>
      </c>
      <c r="F150" s="17">
        <v>0.92400000000000004</v>
      </c>
      <c r="G150" s="22">
        <f t="shared" si="2"/>
        <v>7.8550000000000004</v>
      </c>
      <c r="H150" s="11" t="s">
        <v>41</v>
      </c>
      <c r="I150" s="24" t="str">
        <f>IFERROR(VLOOKUP($H150,'[1]Actual &amp; PO  Analysis 2020'!$A$4:$BJ$300,62,0),"")</f>
        <v/>
      </c>
      <c r="J150" s="24" t="str">
        <f>IFERROR(VLOOKUP($H150,'[1]Actual &amp; PO  Analysis 2020'!$A$4:$BP$300,68,0),"")</f>
        <v/>
      </c>
      <c r="K150" s="24" t="str">
        <f>IFERROR(VLOOKUP($H150,'[1]Actual &amp; PO  Analysis 2020'!$A$4:$BV$300,74,0),"")</f>
        <v/>
      </c>
      <c r="L150" s="24" t="str">
        <f>IFERROR(VLOOKUP($H150,'[1]Actual &amp; PO  Analysis 2020'!$A$4:$CB$300,80,0),"")</f>
        <v/>
      </c>
      <c r="M150" s="24" t="str">
        <f>IFERROR(VLOOKUP($H150,'[1]Actual &amp; PO  Analysis 2020'!$A$4:$CH$300,86,0),"")</f>
        <v/>
      </c>
      <c r="N150" s="25">
        <v>0</v>
      </c>
    </row>
    <row r="151" spans="1:14" x14ac:dyDescent="0.25">
      <c r="A151" s="11" t="s">
        <v>212</v>
      </c>
      <c r="B151" s="17">
        <v>0</v>
      </c>
      <c r="C151" s="17">
        <v>3.1520000000000001</v>
      </c>
      <c r="D151" s="17">
        <v>4.3620000000000001</v>
      </c>
      <c r="E151" s="17">
        <v>0.13500000000000001</v>
      </c>
      <c r="F151" s="17">
        <v>1.024</v>
      </c>
      <c r="G151" s="22">
        <f t="shared" si="2"/>
        <v>8.673</v>
      </c>
      <c r="H151" s="11" t="s">
        <v>40</v>
      </c>
      <c r="I151" s="24" t="str">
        <f>IFERROR(VLOOKUP($H151,'[1]Actual &amp; PO  Analysis 2020'!$A$4:$BJ$300,62,0),"")</f>
        <v/>
      </c>
      <c r="J151" s="24" t="str">
        <f>IFERROR(VLOOKUP($H151,'[1]Actual &amp; PO  Analysis 2020'!$A$4:$BP$300,68,0),"")</f>
        <v/>
      </c>
      <c r="K151" s="24" t="str">
        <f>IFERROR(VLOOKUP($H151,'[1]Actual &amp; PO  Analysis 2020'!$A$4:$BV$300,74,0),"")</f>
        <v/>
      </c>
      <c r="L151" s="24" t="str">
        <f>IFERROR(VLOOKUP($H151,'[1]Actual &amp; PO  Analysis 2020'!$A$4:$CB$300,80,0),"")</f>
        <v/>
      </c>
      <c r="M151" s="24" t="str">
        <f>IFERROR(VLOOKUP($H151,'[1]Actual &amp; PO  Analysis 2020'!$A$4:$CH$300,86,0),"")</f>
        <v/>
      </c>
      <c r="N151" s="25">
        <v>0</v>
      </c>
    </row>
    <row r="152" spans="1:14" x14ac:dyDescent="0.25">
      <c r="A152" s="11" t="s">
        <v>213</v>
      </c>
      <c r="B152" s="17">
        <v>0</v>
      </c>
      <c r="C152" s="17">
        <v>3.6</v>
      </c>
      <c r="D152" s="17">
        <v>3.1500000000000004</v>
      </c>
      <c r="E152" s="17">
        <v>0.1</v>
      </c>
      <c r="F152" s="17">
        <v>0.76</v>
      </c>
      <c r="G152" s="22">
        <f t="shared" si="2"/>
        <v>7.6099999999999994</v>
      </c>
      <c r="H152" s="11" t="s">
        <v>208</v>
      </c>
      <c r="I152" s="24" t="str">
        <f>IFERROR(VLOOKUP($H152,'[1]Actual &amp; PO  Analysis 2020'!$A$4:$BJ$300,62,0),"")</f>
        <v/>
      </c>
      <c r="J152" s="24" t="str">
        <f>IFERROR(VLOOKUP($H152,'[1]Actual &amp; PO  Analysis 2020'!$A$4:$BP$300,68,0),"")</f>
        <v/>
      </c>
      <c r="K152" s="24" t="str">
        <f>IFERROR(VLOOKUP($H152,'[1]Actual &amp; PO  Analysis 2020'!$A$4:$BV$300,74,0),"")</f>
        <v/>
      </c>
      <c r="L152" s="24" t="str">
        <f>IFERROR(VLOOKUP($H152,'[1]Actual &amp; PO  Analysis 2020'!$A$4:$CB$300,80,0),"")</f>
        <v/>
      </c>
      <c r="M152" s="24" t="str">
        <f>IFERROR(VLOOKUP($H152,'[1]Actual &amp; PO  Analysis 2020'!$A$4:$CH$300,86,0),"")</f>
        <v/>
      </c>
      <c r="N152" s="25">
        <v>0</v>
      </c>
    </row>
    <row r="153" spans="1:14" x14ac:dyDescent="0.25">
      <c r="A153" s="11" t="s">
        <v>216</v>
      </c>
      <c r="B153" s="17">
        <v>0</v>
      </c>
      <c r="C153" s="17">
        <v>2.7309999999999999</v>
      </c>
      <c r="D153" s="17">
        <v>4.37</v>
      </c>
      <c r="E153" s="17">
        <v>0.152</v>
      </c>
      <c r="F153" s="17">
        <v>1.153</v>
      </c>
      <c r="G153" s="22">
        <f t="shared" si="2"/>
        <v>8.4060000000000006</v>
      </c>
      <c r="H153" s="11" t="s">
        <v>89</v>
      </c>
      <c r="I153" s="24" t="str">
        <f>IFERROR(VLOOKUP($H153,'[1]Actual &amp; PO  Analysis 2020'!$A$4:$BJ$300,62,0),"")</f>
        <v/>
      </c>
      <c r="J153" s="24" t="str">
        <f>IFERROR(VLOOKUP($H153,'[1]Actual &amp; PO  Analysis 2020'!$A$4:$BP$300,68,0),"")</f>
        <v/>
      </c>
      <c r="K153" s="24" t="str">
        <f>IFERROR(VLOOKUP($H153,'[1]Actual &amp; PO  Analysis 2020'!$A$4:$BV$300,74,0),"")</f>
        <v/>
      </c>
      <c r="L153" s="24" t="str">
        <f>IFERROR(VLOOKUP($H153,'[1]Actual &amp; PO  Analysis 2020'!$A$4:$CB$300,80,0),"")</f>
        <v/>
      </c>
      <c r="M153" s="24" t="str">
        <f>IFERROR(VLOOKUP($H153,'[1]Actual &amp; PO  Analysis 2020'!$A$4:$CH$300,86,0),"")</f>
        <v/>
      </c>
      <c r="N153" s="25">
        <v>0</v>
      </c>
    </row>
    <row r="154" spans="1:14" x14ac:dyDescent="0.25">
      <c r="A154" s="11" t="s">
        <v>335</v>
      </c>
      <c r="B154" s="17">
        <v>0</v>
      </c>
      <c r="C154" s="17">
        <v>0</v>
      </c>
      <c r="D154" s="17">
        <v>0</v>
      </c>
      <c r="E154" s="17">
        <v>0</v>
      </c>
      <c r="F154" s="17">
        <v>0</v>
      </c>
      <c r="G154" s="22">
        <f t="shared" si="2"/>
        <v>0</v>
      </c>
      <c r="H154" s="11" t="s">
        <v>211</v>
      </c>
      <c r="I154" s="24" t="str">
        <f>IFERROR(VLOOKUP($H154,'[1]Actual &amp; PO  Analysis 2020'!$A$4:$BJ$300,62,0),"")</f>
        <v>0</v>
      </c>
      <c r="J154" s="24">
        <f>IFERROR(VLOOKUP($H154,'[1]Actual &amp; PO  Analysis 2020'!$A$4:$BP$300,68,0),"")</f>
        <v>2.6429999999999998</v>
      </c>
      <c r="K154" s="24">
        <f>IFERROR(VLOOKUP($H154,'[1]Actual &amp; PO  Analysis 2020'!$A$4:$BV$300,74,0),"")</f>
        <v>4.0380000000000003</v>
      </c>
      <c r="L154" s="24" t="str">
        <f>IFERROR(VLOOKUP($H154,'[1]Actual &amp; PO  Analysis 2020'!$A$4:$CB$300,80,0),"")</f>
        <v>0</v>
      </c>
      <c r="M154" s="24">
        <f>IFERROR(VLOOKUP($H154,'[1]Actual &amp; PO  Analysis 2020'!$A$4:$CH$300,86,0),"")</f>
        <v>2.9020000000000001</v>
      </c>
      <c r="N154" s="25">
        <v>9.2259999999999991</v>
      </c>
    </row>
    <row r="155" spans="1:14" x14ac:dyDescent="0.25">
      <c r="A155" s="11" t="s">
        <v>336</v>
      </c>
      <c r="B155" s="17">
        <v>0</v>
      </c>
      <c r="C155" s="17">
        <v>0</v>
      </c>
      <c r="D155" s="17">
        <v>0</v>
      </c>
      <c r="E155" s="17">
        <v>0</v>
      </c>
      <c r="F155" s="17">
        <v>0</v>
      </c>
      <c r="G155" s="22">
        <f t="shared" si="2"/>
        <v>0</v>
      </c>
      <c r="H155" s="11" t="s">
        <v>212</v>
      </c>
      <c r="I155" s="24" t="str">
        <f>IFERROR(VLOOKUP($H155,'[1]Actual &amp; PO  Analysis 2020'!$A$4:$BJ$300,62,0),"")</f>
        <v>0</v>
      </c>
      <c r="J155" s="24">
        <f>IFERROR(VLOOKUP($H155,'[1]Actual &amp; PO  Analysis 2020'!$A$4:$BP$300,68,0),"")</f>
        <v>2.0129999999999999</v>
      </c>
      <c r="K155" s="24">
        <f>IFERROR(VLOOKUP($H155,'[1]Actual &amp; PO  Analysis 2020'!$A$4:$BV$300,74,0),"")</f>
        <v>4.6580000000000004</v>
      </c>
      <c r="L155" s="24" t="str">
        <f>IFERROR(VLOOKUP($H155,'[1]Actual &amp; PO  Analysis 2020'!$A$4:$CB$300,80,0),"")</f>
        <v>0</v>
      </c>
      <c r="M155" s="24">
        <f>IFERROR(VLOOKUP($H155,'[1]Actual &amp; PO  Analysis 2020'!$A$4:$CH$300,86,0),"")</f>
        <v>2.9550000000000001</v>
      </c>
      <c r="N155" s="25">
        <v>9.6260000000000012</v>
      </c>
    </row>
    <row r="156" spans="1:14" x14ac:dyDescent="0.25">
      <c r="A156" s="11" t="s">
        <v>337</v>
      </c>
      <c r="B156" s="17">
        <v>0</v>
      </c>
      <c r="C156" s="17">
        <v>0</v>
      </c>
      <c r="D156" s="17">
        <v>0</v>
      </c>
      <c r="E156" s="17">
        <v>0</v>
      </c>
      <c r="F156" s="17">
        <v>0</v>
      </c>
      <c r="G156" s="22">
        <f t="shared" si="2"/>
        <v>0</v>
      </c>
      <c r="H156" s="11" t="s">
        <v>213</v>
      </c>
      <c r="I156" s="24" t="str">
        <f>IFERROR(VLOOKUP($H156,'[1]Actual &amp; PO  Analysis 2020'!$A$4:$BJ$300,62,0),"")</f>
        <v/>
      </c>
      <c r="J156" s="24" t="str">
        <f>IFERROR(VLOOKUP($H156,'[1]Actual &amp; PO  Analysis 2020'!$A$4:$BP$300,68,0),"")</f>
        <v/>
      </c>
      <c r="K156" s="24" t="str">
        <f>IFERROR(VLOOKUP($H156,'[1]Actual &amp; PO  Analysis 2020'!$A$4:$BV$300,74,0),"")</f>
        <v/>
      </c>
      <c r="L156" s="24" t="str">
        <f>IFERROR(VLOOKUP($H156,'[1]Actual &amp; PO  Analysis 2020'!$A$4:$CB$300,80,0),"")</f>
        <v/>
      </c>
      <c r="M156" s="24" t="str">
        <f>IFERROR(VLOOKUP($H156,'[1]Actual &amp; PO  Analysis 2020'!$A$4:$CH$300,86,0),"")</f>
        <v/>
      </c>
      <c r="N156" s="25">
        <v>0</v>
      </c>
    </row>
    <row r="157" spans="1:14" x14ac:dyDescent="0.25">
      <c r="A157" s="11" t="s">
        <v>338</v>
      </c>
      <c r="B157" s="17">
        <v>0</v>
      </c>
      <c r="C157" s="17">
        <v>0</v>
      </c>
      <c r="D157" s="17">
        <v>0</v>
      </c>
      <c r="E157" s="17">
        <v>0</v>
      </c>
      <c r="F157" s="17">
        <v>0</v>
      </c>
      <c r="G157" s="22">
        <f t="shared" si="2"/>
        <v>0</v>
      </c>
      <c r="H157" s="11" t="s">
        <v>216</v>
      </c>
      <c r="I157" s="24" t="str">
        <f>IFERROR(VLOOKUP($H157,'[1]Actual &amp; PO  Analysis 2020'!$A$4:$BJ$300,62,0),"")</f>
        <v>0</v>
      </c>
      <c r="J157" s="24">
        <f>IFERROR(VLOOKUP($H157,'[1]Actual &amp; PO  Analysis 2020'!$A$4:$BP$300,68,0),"")</f>
        <v>0.98</v>
      </c>
      <c r="K157" s="24">
        <f>IFERROR(VLOOKUP($H157,'[1]Actual &amp; PO  Analysis 2020'!$A$4:$BV$300,74,0),"")</f>
        <v>2.532</v>
      </c>
      <c r="L157" s="24" t="str">
        <f>IFERROR(VLOOKUP($H157,'[1]Actual &amp; PO  Analysis 2020'!$A$4:$CB$300,80,0),"")</f>
        <v>0</v>
      </c>
      <c r="M157" s="24">
        <f>IFERROR(VLOOKUP($H157,'[1]Actual &amp; PO  Analysis 2020'!$A$4:$CH$300,86,0),"")</f>
        <v>4</v>
      </c>
      <c r="N157" s="25">
        <v>0.98</v>
      </c>
    </row>
    <row r="158" spans="1:14" x14ac:dyDescent="0.25">
      <c r="A158" s="11" t="s">
        <v>339</v>
      </c>
      <c r="B158" s="17">
        <v>0</v>
      </c>
      <c r="C158" s="17">
        <v>0</v>
      </c>
      <c r="D158" s="17">
        <v>0</v>
      </c>
      <c r="E158" s="17">
        <v>0</v>
      </c>
      <c r="F158" s="17">
        <v>0</v>
      </c>
      <c r="G158" s="22">
        <f t="shared" si="2"/>
        <v>0</v>
      </c>
      <c r="H158" s="11" t="s">
        <v>335</v>
      </c>
      <c r="I158" s="24" t="str">
        <f>IFERROR(VLOOKUP($H158,'[1]Actual &amp; PO  Analysis 2020'!$A$4:$BJ$300,62,0),"")</f>
        <v/>
      </c>
      <c r="J158" s="24" t="str">
        <f>IFERROR(VLOOKUP($H158,'[1]Actual &amp; PO  Analysis 2020'!$A$4:$BP$300,68,0),"")</f>
        <v/>
      </c>
      <c r="K158" s="24" t="str">
        <f>IFERROR(VLOOKUP($H158,'[1]Actual &amp; PO  Analysis 2020'!$A$4:$BV$300,74,0),"")</f>
        <v/>
      </c>
      <c r="L158" s="24" t="str">
        <f>IFERROR(VLOOKUP($H158,'[1]Actual &amp; PO  Analysis 2020'!$A$4:$CB$300,80,0),"")</f>
        <v/>
      </c>
      <c r="M158" s="24" t="str">
        <f>IFERROR(VLOOKUP($H158,'[1]Actual &amp; PO  Analysis 2020'!$A$4:$CH$300,86,0),"")</f>
        <v/>
      </c>
      <c r="N158" s="25">
        <v>0</v>
      </c>
    </row>
    <row r="159" spans="1:14" x14ac:dyDescent="0.25">
      <c r="A159" s="11" t="s">
        <v>133</v>
      </c>
      <c r="B159" s="17">
        <v>0</v>
      </c>
      <c r="C159" s="17">
        <v>4.6900000000000004</v>
      </c>
      <c r="D159" s="17">
        <v>3.58</v>
      </c>
      <c r="E159" s="17">
        <v>0.1</v>
      </c>
      <c r="F159" s="17">
        <v>0.77</v>
      </c>
      <c r="G159" s="22">
        <f t="shared" si="2"/>
        <v>9.1399999999999988</v>
      </c>
      <c r="H159" s="11" t="s">
        <v>336</v>
      </c>
      <c r="I159" s="24" t="str">
        <f>IFERROR(VLOOKUP($H159,'[1]Actual &amp; PO  Analysis 2020'!$A$4:$BJ$300,62,0),"")</f>
        <v/>
      </c>
      <c r="J159" s="24" t="str">
        <f>IFERROR(VLOOKUP($H159,'[1]Actual &amp; PO  Analysis 2020'!$A$4:$BP$300,68,0),"")</f>
        <v/>
      </c>
      <c r="K159" s="24" t="str">
        <f>IFERROR(VLOOKUP($H159,'[1]Actual &amp; PO  Analysis 2020'!$A$4:$BV$300,74,0),"")</f>
        <v/>
      </c>
      <c r="L159" s="24" t="str">
        <f>IFERROR(VLOOKUP($H159,'[1]Actual &amp; PO  Analysis 2020'!$A$4:$CB$300,80,0),"")</f>
        <v/>
      </c>
      <c r="M159" s="24" t="str">
        <f>IFERROR(VLOOKUP($H159,'[1]Actual &amp; PO  Analysis 2020'!$A$4:$CH$300,86,0),"")</f>
        <v/>
      </c>
      <c r="N159" s="25">
        <v>0</v>
      </c>
    </row>
    <row r="160" spans="1:14" x14ac:dyDescent="0.25">
      <c r="A160" s="11" t="s">
        <v>220</v>
      </c>
      <c r="B160" s="17">
        <v>0</v>
      </c>
      <c r="C160" s="17">
        <v>3.31</v>
      </c>
      <c r="D160" s="17">
        <v>2.25</v>
      </c>
      <c r="E160" s="17">
        <v>7.3999999999999996E-2</v>
      </c>
      <c r="F160" s="17">
        <v>0.56599999999999995</v>
      </c>
      <c r="G160" s="22">
        <f t="shared" si="2"/>
        <v>6.2</v>
      </c>
      <c r="H160" s="11" t="s">
        <v>337</v>
      </c>
      <c r="I160" s="24" t="str">
        <f>IFERROR(VLOOKUP($H160,'[1]Actual &amp; PO  Analysis 2020'!$A$4:$BJ$300,62,0),"")</f>
        <v/>
      </c>
      <c r="J160" s="24" t="str">
        <f>IFERROR(VLOOKUP($H160,'[1]Actual &amp; PO  Analysis 2020'!$A$4:$BP$300,68,0),"")</f>
        <v/>
      </c>
      <c r="K160" s="24" t="str">
        <f>IFERROR(VLOOKUP($H160,'[1]Actual &amp; PO  Analysis 2020'!$A$4:$BV$300,74,0),"")</f>
        <v/>
      </c>
      <c r="L160" s="24" t="str">
        <f>IFERROR(VLOOKUP($H160,'[1]Actual &amp; PO  Analysis 2020'!$A$4:$CB$300,80,0),"")</f>
        <v/>
      </c>
      <c r="M160" s="24" t="str">
        <f>IFERROR(VLOOKUP($H160,'[1]Actual &amp; PO  Analysis 2020'!$A$4:$CH$300,86,0),"")</f>
        <v/>
      </c>
      <c r="N160" s="25">
        <v>0</v>
      </c>
    </row>
    <row r="161" spans="1:14" x14ac:dyDescent="0.25">
      <c r="A161" s="11" t="s">
        <v>49</v>
      </c>
      <c r="B161" s="17">
        <v>0.13300000000000001</v>
      </c>
      <c r="C161" s="17">
        <v>1.17</v>
      </c>
      <c r="D161" s="17">
        <v>1.9</v>
      </c>
      <c r="E161" s="17">
        <v>0</v>
      </c>
      <c r="F161" s="17">
        <v>0.77700000000000002</v>
      </c>
      <c r="G161" s="22">
        <f t="shared" si="2"/>
        <v>3.98</v>
      </c>
      <c r="H161" s="11" t="s">
        <v>338</v>
      </c>
      <c r="I161" s="24" t="str">
        <f>IFERROR(VLOOKUP($H161,'[1]Actual &amp; PO  Analysis 2020'!$A$4:$BJ$300,62,0),"")</f>
        <v/>
      </c>
      <c r="J161" s="24" t="str">
        <f>IFERROR(VLOOKUP($H161,'[1]Actual &amp; PO  Analysis 2020'!$A$4:$BP$300,68,0),"")</f>
        <v/>
      </c>
      <c r="K161" s="24" t="str">
        <f>IFERROR(VLOOKUP($H161,'[1]Actual &amp; PO  Analysis 2020'!$A$4:$BV$300,74,0),"")</f>
        <v/>
      </c>
      <c r="L161" s="24" t="str">
        <f>IFERROR(VLOOKUP($H161,'[1]Actual &amp; PO  Analysis 2020'!$A$4:$CB$300,80,0),"")</f>
        <v/>
      </c>
      <c r="M161" s="24" t="str">
        <f>IFERROR(VLOOKUP($H161,'[1]Actual &amp; PO  Analysis 2020'!$A$4:$CH$300,86,0),"")</f>
        <v/>
      </c>
      <c r="N161" s="25">
        <v>0</v>
      </c>
    </row>
    <row r="162" spans="1:14" x14ac:dyDescent="0.25">
      <c r="A162" s="11" t="s">
        <v>126</v>
      </c>
      <c r="B162" s="17">
        <v>0.77</v>
      </c>
      <c r="C162" s="17">
        <v>0.4</v>
      </c>
      <c r="D162" s="17">
        <v>1.91</v>
      </c>
      <c r="E162" s="17">
        <v>0.1</v>
      </c>
      <c r="F162" s="17">
        <v>0.82</v>
      </c>
      <c r="G162" s="22">
        <f t="shared" si="2"/>
        <v>4</v>
      </c>
      <c r="H162" s="11" t="s">
        <v>339</v>
      </c>
      <c r="I162" s="24" t="str">
        <f>IFERROR(VLOOKUP($H162,'[1]Actual &amp; PO  Analysis 2020'!$A$4:$BJ$300,62,0),"")</f>
        <v/>
      </c>
      <c r="J162" s="24" t="str">
        <f>IFERROR(VLOOKUP($H162,'[1]Actual &amp; PO  Analysis 2020'!$A$4:$BP$300,68,0),"")</f>
        <v/>
      </c>
      <c r="K162" s="24" t="str">
        <f>IFERROR(VLOOKUP($H162,'[1]Actual &amp; PO  Analysis 2020'!$A$4:$BV$300,74,0),"")</f>
        <v/>
      </c>
      <c r="L162" s="24" t="str">
        <f>IFERROR(VLOOKUP($H162,'[1]Actual &amp; PO  Analysis 2020'!$A$4:$CB$300,80,0),"")</f>
        <v/>
      </c>
      <c r="M162" s="24" t="str">
        <f>IFERROR(VLOOKUP($H162,'[1]Actual &amp; PO  Analysis 2020'!$A$4:$CH$300,86,0),"")</f>
        <v/>
      </c>
      <c r="N162" s="25">
        <v>0</v>
      </c>
    </row>
    <row r="163" spans="1:14" x14ac:dyDescent="0.25">
      <c r="A163" s="11" t="s">
        <v>28</v>
      </c>
      <c r="B163" s="17">
        <v>0.6</v>
      </c>
      <c r="C163" s="17">
        <v>0.4</v>
      </c>
      <c r="D163" s="17">
        <v>1.9769999999999999</v>
      </c>
      <c r="E163" s="17">
        <v>0.1</v>
      </c>
      <c r="F163" s="17">
        <v>0.75</v>
      </c>
      <c r="G163" s="22">
        <f t="shared" si="2"/>
        <v>3.827</v>
      </c>
      <c r="H163" s="11" t="s">
        <v>133</v>
      </c>
      <c r="I163" s="24" t="str">
        <f>IFERROR(VLOOKUP($H163,'[1]Actual &amp; PO  Analysis 2020'!$A$4:$BJ$300,62,0),"")</f>
        <v/>
      </c>
      <c r="J163" s="24" t="str">
        <f>IFERROR(VLOOKUP($H163,'[1]Actual &amp; PO  Analysis 2020'!$A$4:$BP$300,68,0),"")</f>
        <v/>
      </c>
      <c r="K163" s="24" t="str">
        <f>IFERROR(VLOOKUP($H163,'[1]Actual &amp; PO  Analysis 2020'!$A$4:$BV$300,74,0),"")</f>
        <v/>
      </c>
      <c r="L163" s="24" t="str">
        <f>IFERROR(VLOOKUP($H163,'[1]Actual &amp; PO  Analysis 2020'!$A$4:$CB$300,80,0),"")</f>
        <v/>
      </c>
      <c r="M163" s="24" t="str">
        <f>IFERROR(VLOOKUP($H163,'[1]Actual &amp; PO  Analysis 2020'!$A$4:$CH$300,86,0),"")</f>
        <v/>
      </c>
      <c r="N163" s="25">
        <v>0</v>
      </c>
    </row>
    <row r="164" spans="1:14" x14ac:dyDescent="0.25">
      <c r="A164" s="11" t="s">
        <v>29</v>
      </c>
      <c r="B164" s="17">
        <v>0.71</v>
      </c>
      <c r="C164" s="17">
        <v>0.49</v>
      </c>
      <c r="D164" s="17">
        <v>2.11</v>
      </c>
      <c r="E164" s="17">
        <v>0.1</v>
      </c>
      <c r="F164" s="17">
        <v>0.61699999999999999</v>
      </c>
      <c r="G164" s="22">
        <f t="shared" si="2"/>
        <v>4.0269999999999992</v>
      </c>
      <c r="H164" s="11" t="s">
        <v>220</v>
      </c>
      <c r="I164" s="24" t="str">
        <f>IFERROR(VLOOKUP($H164,'[1]Actual &amp; PO  Analysis 2020'!$A$4:$BJ$300,62,0),"")</f>
        <v/>
      </c>
      <c r="J164" s="24" t="str">
        <f>IFERROR(VLOOKUP($H164,'[1]Actual &amp; PO  Analysis 2020'!$A$4:$BP$300,68,0),"")</f>
        <v/>
      </c>
      <c r="K164" s="24" t="str">
        <f>IFERROR(VLOOKUP($H164,'[1]Actual &amp; PO  Analysis 2020'!$A$4:$BV$300,74,0),"")</f>
        <v/>
      </c>
      <c r="L164" s="24" t="str">
        <f>IFERROR(VLOOKUP($H164,'[1]Actual &amp; PO  Analysis 2020'!$A$4:$CB$300,80,0),"")</f>
        <v/>
      </c>
      <c r="M164" s="24" t="str">
        <f>IFERROR(VLOOKUP($H164,'[1]Actual &amp; PO  Analysis 2020'!$A$4:$CH$300,86,0),"")</f>
        <v/>
      </c>
      <c r="N164" s="25">
        <v>0</v>
      </c>
    </row>
    <row r="165" spans="1:14" x14ac:dyDescent="0.25">
      <c r="A165" s="11" t="s">
        <v>30</v>
      </c>
      <c r="B165" s="17">
        <v>0</v>
      </c>
      <c r="C165" s="17">
        <v>1.63</v>
      </c>
      <c r="D165" s="17">
        <v>2.02</v>
      </c>
      <c r="E165" s="17">
        <v>0.1</v>
      </c>
      <c r="F165" s="17">
        <v>0.61</v>
      </c>
      <c r="G165" s="22">
        <f t="shared" si="2"/>
        <v>4.3600000000000003</v>
      </c>
      <c r="H165" s="11" t="s">
        <v>49</v>
      </c>
      <c r="I165" s="24" t="str">
        <f>IFERROR(VLOOKUP($H165,'[1]Actual &amp; PO  Analysis 2020'!$A$4:$BJ$300,62,0),"")</f>
        <v/>
      </c>
      <c r="J165" s="24" t="str">
        <f>IFERROR(VLOOKUP($H165,'[1]Actual &amp; PO  Analysis 2020'!$A$4:$BP$300,68,0),"")</f>
        <v/>
      </c>
      <c r="K165" s="24" t="str">
        <f>IFERROR(VLOOKUP($H165,'[1]Actual &amp; PO  Analysis 2020'!$A$4:$BV$300,74,0),"")</f>
        <v/>
      </c>
      <c r="L165" s="24" t="str">
        <f>IFERROR(VLOOKUP($H165,'[1]Actual &amp; PO  Analysis 2020'!$A$4:$CB$300,80,0),"")</f>
        <v/>
      </c>
      <c r="M165" s="24" t="str">
        <f>IFERROR(VLOOKUP($H165,'[1]Actual &amp; PO  Analysis 2020'!$A$4:$CH$300,86,0),"")</f>
        <v/>
      </c>
      <c r="N165" s="25">
        <v>0</v>
      </c>
    </row>
    <row r="166" spans="1:14" x14ac:dyDescent="0.25">
      <c r="A166" s="11" t="s">
        <v>31</v>
      </c>
      <c r="B166" s="17">
        <v>0</v>
      </c>
      <c r="C166" s="17">
        <v>1.43</v>
      </c>
      <c r="D166" s="17">
        <v>2.2199999999999998</v>
      </c>
      <c r="E166" s="17">
        <v>0.1</v>
      </c>
      <c r="F166" s="17">
        <v>0.60699999999999998</v>
      </c>
      <c r="G166" s="22">
        <f t="shared" si="2"/>
        <v>4.3569999999999993</v>
      </c>
      <c r="H166" s="11" t="s">
        <v>126</v>
      </c>
      <c r="I166" s="24" t="str">
        <f>IFERROR(VLOOKUP($H166,'[1]Actual &amp; PO  Analysis 2020'!$A$4:$BJ$300,62,0),"")</f>
        <v/>
      </c>
      <c r="J166" s="24" t="str">
        <f>IFERROR(VLOOKUP($H166,'[1]Actual &amp; PO  Analysis 2020'!$A$4:$BP$300,68,0),"")</f>
        <v/>
      </c>
      <c r="K166" s="24" t="str">
        <f>IFERROR(VLOOKUP($H166,'[1]Actual &amp; PO  Analysis 2020'!$A$4:$BV$300,74,0),"")</f>
        <v/>
      </c>
      <c r="L166" s="24" t="str">
        <f>IFERROR(VLOOKUP($H166,'[1]Actual &amp; PO  Analysis 2020'!$A$4:$CB$300,80,0),"")</f>
        <v/>
      </c>
      <c r="M166" s="24" t="str">
        <f>IFERROR(VLOOKUP($H166,'[1]Actual &amp; PO  Analysis 2020'!$A$4:$CH$300,86,0),"")</f>
        <v/>
      </c>
      <c r="N166" s="25">
        <v>0</v>
      </c>
    </row>
    <row r="167" spans="1:14" x14ac:dyDescent="0.25">
      <c r="A167" s="11" t="s">
        <v>94</v>
      </c>
      <c r="B167" s="17">
        <v>0</v>
      </c>
      <c r="C167" s="17">
        <v>5.4</v>
      </c>
      <c r="D167" s="17">
        <v>3.35</v>
      </c>
      <c r="E167" s="17">
        <v>0.1</v>
      </c>
      <c r="F167" s="17">
        <v>0.76</v>
      </c>
      <c r="G167" s="22">
        <f t="shared" si="2"/>
        <v>9.61</v>
      </c>
      <c r="H167" s="11" t="s">
        <v>28</v>
      </c>
      <c r="I167" s="24" t="str">
        <f>IFERROR(VLOOKUP($H167,'[1]Actual &amp; PO  Analysis 2020'!$A$4:$BJ$300,62,0),"")</f>
        <v/>
      </c>
      <c r="J167" s="24" t="str">
        <f>IFERROR(VLOOKUP($H167,'[1]Actual &amp; PO  Analysis 2020'!$A$4:$BP$300,68,0),"")</f>
        <v/>
      </c>
      <c r="K167" s="24" t="str">
        <f>IFERROR(VLOOKUP($H167,'[1]Actual &amp; PO  Analysis 2020'!$A$4:$BV$300,74,0),"")</f>
        <v/>
      </c>
      <c r="L167" s="24" t="str">
        <f>IFERROR(VLOOKUP($H167,'[1]Actual &amp; PO  Analysis 2020'!$A$4:$CB$300,80,0),"")</f>
        <v/>
      </c>
      <c r="M167" s="24" t="str">
        <f>IFERROR(VLOOKUP($H167,'[1]Actual &amp; PO  Analysis 2020'!$A$4:$CH$300,86,0),"")</f>
        <v/>
      </c>
      <c r="N167" s="25">
        <v>0</v>
      </c>
    </row>
    <row r="168" spans="1:14" x14ac:dyDescent="0.25">
      <c r="A168" s="11" t="s">
        <v>440</v>
      </c>
      <c r="B168" s="17">
        <v>0</v>
      </c>
      <c r="C168" s="17">
        <v>0.89</v>
      </c>
      <c r="D168" s="17">
        <v>2.5499999999999998</v>
      </c>
      <c r="E168" s="17">
        <v>0</v>
      </c>
      <c r="F168" s="17">
        <v>0.77</v>
      </c>
      <c r="G168" s="22">
        <f t="shared" si="2"/>
        <v>4.21</v>
      </c>
      <c r="H168" s="11" t="s">
        <v>29</v>
      </c>
      <c r="I168" s="24" t="str">
        <f>IFERROR(VLOOKUP($H168,'[1]Actual &amp; PO  Analysis 2020'!$A$4:$BJ$300,62,0),"")</f>
        <v/>
      </c>
      <c r="J168" s="24" t="str">
        <f>IFERROR(VLOOKUP($H168,'[1]Actual &amp; PO  Analysis 2020'!$A$4:$BP$300,68,0),"")</f>
        <v/>
      </c>
      <c r="K168" s="24" t="str">
        <f>IFERROR(VLOOKUP($H168,'[1]Actual &amp; PO  Analysis 2020'!$A$4:$BV$300,74,0),"")</f>
        <v/>
      </c>
      <c r="L168" s="24" t="str">
        <f>IFERROR(VLOOKUP($H168,'[1]Actual &amp; PO  Analysis 2020'!$A$4:$CB$300,80,0),"")</f>
        <v/>
      </c>
      <c r="M168" s="24" t="str">
        <f>IFERROR(VLOOKUP($H168,'[1]Actual &amp; PO  Analysis 2020'!$A$4:$CH$300,86,0),"")</f>
        <v/>
      </c>
      <c r="N168" s="25">
        <v>0</v>
      </c>
    </row>
    <row r="169" spans="1:14" x14ac:dyDescent="0.25">
      <c r="A169" s="11" t="s">
        <v>329</v>
      </c>
      <c r="B169" s="17">
        <v>0</v>
      </c>
      <c r="C169" s="17">
        <v>0</v>
      </c>
      <c r="D169" s="17">
        <v>0</v>
      </c>
      <c r="E169" s="17">
        <v>0</v>
      </c>
      <c r="F169" s="17">
        <v>0</v>
      </c>
      <c r="G169" s="22">
        <f t="shared" si="2"/>
        <v>0</v>
      </c>
      <c r="H169" s="11" t="s">
        <v>30</v>
      </c>
      <c r="I169" s="24" t="str">
        <f>IFERROR(VLOOKUP($H169,'[1]Actual &amp; PO  Analysis 2020'!$A$4:$BJ$300,62,0),"")</f>
        <v/>
      </c>
      <c r="J169" s="24" t="str">
        <f>IFERROR(VLOOKUP($H169,'[1]Actual &amp; PO  Analysis 2020'!$A$4:$BP$300,68,0),"")</f>
        <v/>
      </c>
      <c r="K169" s="24" t="str">
        <f>IFERROR(VLOOKUP($H169,'[1]Actual &amp; PO  Analysis 2020'!$A$4:$BV$300,74,0),"")</f>
        <v/>
      </c>
      <c r="L169" s="24" t="str">
        <f>IFERROR(VLOOKUP($H169,'[1]Actual &amp; PO  Analysis 2020'!$A$4:$CB$300,80,0),"")</f>
        <v/>
      </c>
      <c r="M169" s="24" t="str">
        <f>IFERROR(VLOOKUP($H169,'[1]Actual &amp; PO  Analysis 2020'!$A$4:$CH$300,86,0),"")</f>
        <v/>
      </c>
      <c r="N169" s="25">
        <v>0</v>
      </c>
    </row>
    <row r="170" spans="1:14" x14ac:dyDescent="0.25">
      <c r="A170" s="11" t="s">
        <v>152</v>
      </c>
      <c r="B170" s="17">
        <v>0</v>
      </c>
      <c r="C170" s="17">
        <v>0.98299999999999998</v>
      </c>
      <c r="D170" s="17">
        <v>1.054</v>
      </c>
      <c r="E170" s="17">
        <v>0</v>
      </c>
      <c r="F170" s="17">
        <v>0.42099999999999999</v>
      </c>
      <c r="G170" s="22">
        <f t="shared" si="2"/>
        <v>2.4579999999999997</v>
      </c>
      <c r="H170" s="11" t="s">
        <v>31</v>
      </c>
      <c r="I170" s="24" t="str">
        <f>IFERROR(VLOOKUP($H170,'[1]Actual &amp; PO  Analysis 2020'!$A$4:$BJ$300,62,0),"")</f>
        <v/>
      </c>
      <c r="J170" s="24" t="str">
        <f>IFERROR(VLOOKUP($H170,'[1]Actual &amp; PO  Analysis 2020'!$A$4:$BP$300,68,0),"")</f>
        <v/>
      </c>
      <c r="K170" s="24" t="str">
        <f>IFERROR(VLOOKUP($H170,'[1]Actual &amp; PO  Analysis 2020'!$A$4:$BV$300,74,0),"")</f>
        <v/>
      </c>
      <c r="L170" s="24" t="str">
        <f>IFERROR(VLOOKUP($H170,'[1]Actual &amp; PO  Analysis 2020'!$A$4:$CB$300,80,0),"")</f>
        <v/>
      </c>
      <c r="M170" s="24" t="str">
        <f>IFERROR(VLOOKUP($H170,'[1]Actual &amp; PO  Analysis 2020'!$A$4:$CH$300,86,0),"")</f>
        <v/>
      </c>
      <c r="N170" s="25">
        <v>0</v>
      </c>
    </row>
    <row r="171" spans="1:14" x14ac:dyDescent="0.25">
      <c r="A171" s="11" t="s">
        <v>406</v>
      </c>
      <c r="B171" s="17">
        <v>0</v>
      </c>
      <c r="C171" s="17">
        <v>1.69</v>
      </c>
      <c r="D171" s="17">
        <v>0.6</v>
      </c>
      <c r="E171" s="17">
        <v>0</v>
      </c>
      <c r="F171" s="17">
        <v>0.53</v>
      </c>
      <c r="G171" s="22">
        <f t="shared" si="2"/>
        <v>2.8200000000000003</v>
      </c>
      <c r="H171" s="11" t="s">
        <v>94</v>
      </c>
      <c r="I171" s="24" t="str">
        <f>IFERROR(VLOOKUP($H171,'[1]Actual &amp; PO  Analysis 2020'!$A$4:$BJ$300,62,0),"")</f>
        <v/>
      </c>
      <c r="J171" s="24" t="str">
        <f>IFERROR(VLOOKUP($H171,'[1]Actual &amp; PO  Analysis 2020'!$A$4:$BP$300,68,0),"")</f>
        <v/>
      </c>
      <c r="K171" s="24" t="str">
        <f>IFERROR(VLOOKUP($H171,'[1]Actual &amp; PO  Analysis 2020'!$A$4:$BV$300,74,0),"")</f>
        <v/>
      </c>
      <c r="L171" s="24" t="str">
        <f>IFERROR(VLOOKUP($H171,'[1]Actual &amp; PO  Analysis 2020'!$A$4:$CB$300,80,0),"")</f>
        <v/>
      </c>
      <c r="M171" s="24" t="str">
        <f>IFERROR(VLOOKUP($H171,'[1]Actual &amp; PO  Analysis 2020'!$A$4:$CH$300,86,0),"")</f>
        <v/>
      </c>
      <c r="N171" s="25">
        <v>0</v>
      </c>
    </row>
    <row r="172" spans="1:14" x14ac:dyDescent="0.25">
      <c r="A172" s="11" t="s">
        <v>372</v>
      </c>
      <c r="B172" s="17">
        <v>0</v>
      </c>
      <c r="C172" s="17">
        <v>0.88700000000000001</v>
      </c>
      <c r="D172" s="17">
        <v>0.72299999999999998</v>
      </c>
      <c r="E172" s="17">
        <v>0</v>
      </c>
      <c r="F172" s="17">
        <v>0.14000000000000001</v>
      </c>
      <c r="G172" s="22">
        <f t="shared" si="2"/>
        <v>1.75</v>
      </c>
      <c r="H172" s="11" t="s">
        <v>440</v>
      </c>
      <c r="I172" s="24" t="str">
        <f>IFERROR(VLOOKUP($H172,'[1]Actual &amp; PO  Analysis 2020'!$A$4:$BJ$300,62,0),"")</f>
        <v>0</v>
      </c>
      <c r="J172" s="24">
        <f>IFERROR(VLOOKUP($H172,'[1]Actual &amp; PO  Analysis 2020'!$A$4:$BP$300,68,0),"")</f>
        <v>1.71</v>
      </c>
      <c r="K172" s="24">
        <f>IFERROR(VLOOKUP($H172,'[1]Actual &amp; PO  Analysis 2020'!$A$4:$BV$300,74,0),"")</f>
        <v>6.76</v>
      </c>
      <c r="L172" s="24">
        <f>IFERROR(VLOOKUP($H172,'[1]Actual &amp; PO  Analysis 2020'!$A$4:$CB$300,80,0),"")</f>
        <v>0.16200000000000001</v>
      </c>
      <c r="M172" s="24">
        <f>IFERROR(VLOOKUP($H172,'[1]Actual &amp; PO  Analysis 2020'!$A$4:$CH$300,86,0),"")</f>
        <v>1.169</v>
      </c>
      <c r="N172" s="25">
        <v>9.8010000000000002</v>
      </c>
    </row>
    <row r="173" spans="1:14" x14ac:dyDescent="0.25">
      <c r="A173" s="11" t="s">
        <v>373</v>
      </c>
      <c r="B173" s="17">
        <v>0</v>
      </c>
      <c r="C173" s="17">
        <v>1.151</v>
      </c>
      <c r="D173" s="17">
        <v>0.45400000000000001</v>
      </c>
      <c r="E173" s="17">
        <v>0</v>
      </c>
      <c r="F173" s="17">
        <v>0.51500000000000001</v>
      </c>
      <c r="G173" s="22">
        <f t="shared" si="2"/>
        <v>2.12</v>
      </c>
      <c r="H173" s="11" t="s">
        <v>329</v>
      </c>
      <c r="I173" s="24" t="str">
        <f>IFERROR(VLOOKUP($H173,'[1]Actual &amp; PO  Analysis 2020'!$A$4:$BJ$300,62,0),"")</f>
        <v/>
      </c>
      <c r="J173" s="24" t="str">
        <f>IFERROR(VLOOKUP($H173,'[1]Actual &amp; PO  Analysis 2020'!$A$4:$BP$300,68,0),"")</f>
        <v/>
      </c>
      <c r="K173" s="24" t="str">
        <f>IFERROR(VLOOKUP($H173,'[1]Actual &amp; PO  Analysis 2020'!$A$4:$BV$300,74,0),"")</f>
        <v/>
      </c>
      <c r="L173" s="24" t="str">
        <f>IFERROR(VLOOKUP($H173,'[1]Actual &amp; PO  Analysis 2020'!$A$4:$CB$300,80,0),"")</f>
        <v/>
      </c>
      <c r="M173" s="24" t="str">
        <f>IFERROR(VLOOKUP($H173,'[1]Actual &amp; PO  Analysis 2020'!$A$4:$CH$300,86,0),"")</f>
        <v/>
      </c>
      <c r="N173" s="25">
        <v>0</v>
      </c>
    </row>
    <row r="174" spans="1:14" x14ac:dyDescent="0.25">
      <c r="A174" s="11" t="s">
        <v>393</v>
      </c>
      <c r="B174" s="17">
        <v>0</v>
      </c>
      <c r="C174" s="17">
        <v>0.56999999999999995</v>
      </c>
      <c r="D174" s="17">
        <v>0.57499999999999996</v>
      </c>
      <c r="E174" s="17">
        <v>0</v>
      </c>
      <c r="F174" s="17">
        <v>0.35499999999999998</v>
      </c>
      <c r="G174" s="22">
        <f t="shared" si="2"/>
        <v>1.5</v>
      </c>
      <c r="H174" s="11" t="s">
        <v>152</v>
      </c>
      <c r="I174" s="24" t="str">
        <f>IFERROR(VLOOKUP($H174,'[1]Actual &amp; PO  Analysis 2020'!$A$4:$BJ$300,62,0),"")</f>
        <v>0</v>
      </c>
      <c r="J174" s="24">
        <f>IFERROR(VLOOKUP($H174,'[1]Actual &amp; PO  Analysis 2020'!$A$4:$BP$300,68,0),"")</f>
        <v>1.1360000000000001</v>
      </c>
      <c r="K174" s="24">
        <f>IFERROR(VLOOKUP($H174,'[1]Actual &amp; PO  Analysis 2020'!$A$4:$BV$300,74,0),"")</f>
        <v>0.91100000000000003</v>
      </c>
      <c r="L174" s="24" t="str">
        <f>IFERROR(VLOOKUP($H174,'[1]Actual &amp; PO  Analysis 2020'!$A$4:$CB$300,80,0),"")</f>
        <v>0</v>
      </c>
      <c r="M174" s="24">
        <f>IFERROR(VLOOKUP($H174,'[1]Actual &amp; PO  Analysis 2020'!$A$4:$CH$300,86,0),"")</f>
        <v>1.2945</v>
      </c>
      <c r="N174" s="25">
        <v>3.3414999999999999</v>
      </c>
    </row>
    <row r="175" spans="1:14" x14ac:dyDescent="0.25">
      <c r="A175" s="11" t="s">
        <v>489</v>
      </c>
      <c r="B175" s="17">
        <v>0</v>
      </c>
      <c r="C175" s="17">
        <v>1.22</v>
      </c>
      <c r="D175" s="17">
        <v>1.05</v>
      </c>
      <c r="E175" s="17">
        <v>0</v>
      </c>
      <c r="F175" s="17">
        <v>0.55000000000000004</v>
      </c>
      <c r="G175" s="22">
        <f t="shared" si="2"/>
        <v>2.8200000000000003</v>
      </c>
      <c r="H175" s="11" t="s">
        <v>406</v>
      </c>
      <c r="I175" s="24" t="str">
        <f>IFERROR(VLOOKUP($H175,'[1]Actual &amp; PO  Analysis 2020'!$A$4:$BJ$300,62,0),"")</f>
        <v>0</v>
      </c>
      <c r="J175" s="24">
        <f>IFERROR(VLOOKUP($H175,'[1]Actual &amp; PO  Analysis 2020'!$A$4:$BP$300,68,0),"")</f>
        <v>1.5015000000000001</v>
      </c>
      <c r="K175" s="24">
        <f>IFERROR(VLOOKUP($H175,'[1]Actual &amp; PO  Analysis 2020'!$A$4:$BV$300,74,0),"")</f>
        <v>2.4359999999999999</v>
      </c>
      <c r="L175" s="24" t="str">
        <f>IFERROR(VLOOKUP($H175,'[1]Actual &amp; PO  Analysis 2020'!$A$4:$CB$300,80,0),"")</f>
        <v>0</v>
      </c>
      <c r="M175" s="24">
        <f>IFERROR(VLOOKUP($H175,'[1]Actual &amp; PO  Analysis 2020'!$A$4:$CH$300,86,0),"")</f>
        <v>2.6606666666666667</v>
      </c>
      <c r="N175" s="25">
        <v>6.5981666666666667</v>
      </c>
    </row>
    <row r="176" spans="1:14" x14ac:dyDescent="0.25">
      <c r="A176" s="11" t="s">
        <v>197</v>
      </c>
      <c r="B176" s="17">
        <v>0</v>
      </c>
      <c r="C176" s="17">
        <v>2.52</v>
      </c>
      <c r="D176" s="17">
        <v>4.59</v>
      </c>
      <c r="E176" s="17">
        <v>0.1</v>
      </c>
      <c r="F176" s="17">
        <v>0.97</v>
      </c>
      <c r="G176" s="22">
        <f t="shared" si="2"/>
        <v>8.18</v>
      </c>
      <c r="H176" s="11" t="s">
        <v>372</v>
      </c>
      <c r="I176" s="24" t="str">
        <f>IFERROR(VLOOKUP($H176,'[1]Actual &amp; PO  Analysis 2020'!$A$4:$BJ$300,62,0),"")</f>
        <v>0</v>
      </c>
      <c r="J176" s="24">
        <f>IFERROR(VLOOKUP($H176,'[1]Actual &amp; PO  Analysis 2020'!$A$4:$BP$300,68,0),"")</f>
        <v>0.60416666666666674</v>
      </c>
      <c r="K176" s="24">
        <f>IFERROR(VLOOKUP($H176,'[1]Actual &amp; PO  Analysis 2020'!$A$4:$BV$300,74,0),"")</f>
        <v>0.72416666666666674</v>
      </c>
      <c r="L176" s="24" t="str">
        <f>IFERROR(VLOOKUP($H176,'[1]Actual &amp; PO  Analysis 2020'!$A$4:$CB$300,80,0),"")</f>
        <v>0</v>
      </c>
      <c r="M176" s="24">
        <f>IFERROR(VLOOKUP($H176,'[1]Actual &amp; PO  Analysis 2020'!$A$4:$CH$300,86,0),"")</f>
        <v>0.2588333333333333</v>
      </c>
      <c r="N176" s="25">
        <v>1.5773999999999999</v>
      </c>
    </row>
    <row r="177" spans="1:14" x14ac:dyDescent="0.25">
      <c r="A177" s="11" t="s">
        <v>134</v>
      </c>
      <c r="B177" s="17">
        <v>0</v>
      </c>
      <c r="C177" s="17">
        <v>3.1</v>
      </c>
      <c r="D177" s="17">
        <v>3.4420000000000002</v>
      </c>
      <c r="E177" s="17">
        <v>0.16300000000000001</v>
      </c>
      <c r="F177" s="17">
        <v>1.224</v>
      </c>
      <c r="G177" s="22">
        <f t="shared" si="2"/>
        <v>7.9290000000000003</v>
      </c>
      <c r="H177" s="11" t="s">
        <v>373</v>
      </c>
      <c r="I177" s="24" t="str">
        <f>IFERROR(VLOOKUP($H177,'[1]Actual &amp; PO  Analysis 2020'!$A$4:$BJ$300,62,0),"")</f>
        <v>0</v>
      </c>
      <c r="J177" s="24">
        <f>IFERROR(VLOOKUP($H177,'[1]Actual &amp; PO  Analysis 2020'!$A$4:$BP$300,68,0),"")</f>
        <v>0.56125000000000003</v>
      </c>
      <c r="K177" s="24">
        <f>IFERROR(VLOOKUP($H177,'[1]Actual &amp; PO  Analysis 2020'!$A$4:$BV$300,74,0),"")</f>
        <v>0.50600000000000001</v>
      </c>
      <c r="L177" s="24" t="str">
        <f>IFERROR(VLOOKUP($H177,'[1]Actual &amp; PO  Analysis 2020'!$A$4:$CB$300,80,0),"")</f>
        <v>0</v>
      </c>
      <c r="M177" s="24">
        <f>IFERROR(VLOOKUP($H177,'[1]Actual &amp; PO  Analysis 2020'!$A$4:$CH$300,86,0),"")</f>
        <v>0.27800000000000002</v>
      </c>
      <c r="N177" s="25">
        <v>1.4023333333333334</v>
      </c>
    </row>
    <row r="178" spans="1:14" x14ac:dyDescent="0.25">
      <c r="A178" s="11" t="s">
        <v>135</v>
      </c>
      <c r="B178" s="17">
        <v>0</v>
      </c>
      <c r="C178" s="17">
        <v>1.631</v>
      </c>
      <c r="D178" s="17">
        <v>3.024</v>
      </c>
      <c r="E178" s="17">
        <v>0.158</v>
      </c>
      <c r="F178" s="17">
        <v>1.1870000000000001</v>
      </c>
      <c r="G178" s="22">
        <f t="shared" si="2"/>
        <v>6.0000000000000009</v>
      </c>
      <c r="H178" s="11" t="s">
        <v>393</v>
      </c>
      <c r="I178" s="24" t="str">
        <f>IFERROR(VLOOKUP($H178,'[1]Actual &amp; PO  Analysis 2020'!$A$4:$BJ$300,62,0),"")</f>
        <v>0</v>
      </c>
      <c r="J178" s="24">
        <f>IFERROR(VLOOKUP($H178,'[1]Actual &amp; PO  Analysis 2020'!$A$4:$BP$300,68,0),"")</f>
        <v>0.59416666666666673</v>
      </c>
      <c r="K178" s="24">
        <f>IFERROR(VLOOKUP($H178,'[1]Actual &amp; PO  Analysis 2020'!$A$4:$BV$300,74,0),"")</f>
        <v>0.84549999999999992</v>
      </c>
      <c r="L178" s="24" t="str">
        <f>IFERROR(VLOOKUP($H178,'[1]Actual &amp; PO  Analysis 2020'!$A$4:$CB$300,80,0),"")</f>
        <v>0</v>
      </c>
      <c r="M178" s="24">
        <f>IFERROR(VLOOKUP($H178,'[1]Actual &amp; PO  Analysis 2020'!$A$4:$CH$300,86,0),"")</f>
        <v>0.5119999999999999</v>
      </c>
      <c r="N178" s="25">
        <v>1.9736</v>
      </c>
    </row>
    <row r="179" spans="1:14" x14ac:dyDescent="0.25">
      <c r="A179" s="11" t="s">
        <v>136</v>
      </c>
      <c r="B179" s="17">
        <v>0</v>
      </c>
      <c r="C179" s="17">
        <v>1.59</v>
      </c>
      <c r="D179" s="17">
        <v>2.5110000000000001</v>
      </c>
      <c r="E179" s="17">
        <v>0.13100000000000001</v>
      </c>
      <c r="F179" s="17">
        <v>0.98599999999999999</v>
      </c>
      <c r="G179" s="22">
        <f t="shared" si="2"/>
        <v>5.218</v>
      </c>
      <c r="H179" s="11" t="s">
        <v>489</v>
      </c>
      <c r="I179" s="24" t="str">
        <f>IFERROR(VLOOKUP($H179,'[1]Actual &amp; PO  Analysis 2020'!$A$4:$BJ$300,62,0),"")</f>
        <v>0</v>
      </c>
      <c r="J179" s="24">
        <f>IFERROR(VLOOKUP($H179,'[1]Actual &amp; PO  Analysis 2020'!$A$4:$BP$300,68,0),"")</f>
        <v>1.5309999999999999</v>
      </c>
      <c r="K179" s="24">
        <f>IFERROR(VLOOKUP($H179,'[1]Actual &amp; PO  Analysis 2020'!$A$4:$BV$300,74,0),"")</f>
        <v>1.716</v>
      </c>
      <c r="L179" s="24" t="str">
        <f>IFERROR(VLOOKUP($H179,'[1]Actual &amp; PO  Analysis 2020'!$A$4:$CB$300,80,0),"")</f>
        <v>0</v>
      </c>
      <c r="M179" s="24">
        <f>IFERROR(VLOOKUP($H179,'[1]Actual &amp; PO  Analysis 2020'!$A$4:$CH$300,86,0),"")</f>
        <v>0.88300000000000001</v>
      </c>
      <c r="N179" s="25">
        <v>4.13</v>
      </c>
    </row>
    <row r="180" spans="1:14" x14ac:dyDescent="0.25">
      <c r="A180" s="11" t="s">
        <v>161</v>
      </c>
      <c r="B180" s="17">
        <v>0</v>
      </c>
      <c r="C180" s="17">
        <v>1.02</v>
      </c>
      <c r="D180" s="17">
        <v>1.8900000000000001</v>
      </c>
      <c r="E180" s="17">
        <v>0.1</v>
      </c>
      <c r="F180" s="17">
        <v>0.74</v>
      </c>
      <c r="G180" s="22">
        <f t="shared" si="2"/>
        <v>3.75</v>
      </c>
      <c r="H180" s="11" t="s">
        <v>197</v>
      </c>
      <c r="I180" s="24" t="str">
        <f>IFERROR(VLOOKUP($H180,'[1]Actual &amp; PO  Analysis 2020'!$A$4:$BJ$300,62,0),"")</f>
        <v/>
      </c>
      <c r="J180" s="24" t="str">
        <f>IFERROR(VLOOKUP($H180,'[1]Actual &amp; PO  Analysis 2020'!$A$4:$BP$300,68,0),"")</f>
        <v/>
      </c>
      <c r="K180" s="24" t="str">
        <f>IFERROR(VLOOKUP($H180,'[1]Actual &amp; PO  Analysis 2020'!$A$4:$BV$300,74,0),"")</f>
        <v/>
      </c>
      <c r="L180" s="24" t="str">
        <f>IFERROR(VLOOKUP($H180,'[1]Actual &amp; PO  Analysis 2020'!$A$4:$CB$300,80,0),"")</f>
        <v/>
      </c>
      <c r="M180" s="24" t="str">
        <f>IFERROR(VLOOKUP($H180,'[1]Actual &amp; PO  Analysis 2020'!$A$4:$CH$300,86,0),"")</f>
        <v/>
      </c>
      <c r="N180" s="25">
        <v>0</v>
      </c>
    </row>
    <row r="181" spans="1:14" x14ac:dyDescent="0.25">
      <c r="A181" s="11" t="s">
        <v>11</v>
      </c>
      <c r="B181" s="17">
        <v>0</v>
      </c>
      <c r="C181" s="17">
        <v>8.8670000000000009</v>
      </c>
      <c r="D181" s="17">
        <v>4.3360000000000003</v>
      </c>
      <c r="E181" s="17">
        <v>0.123</v>
      </c>
      <c r="F181" s="17">
        <v>0.8</v>
      </c>
      <c r="G181" s="22">
        <f t="shared" si="2"/>
        <v>14.126000000000001</v>
      </c>
      <c r="H181" s="11" t="s">
        <v>134</v>
      </c>
      <c r="I181" s="24" t="str">
        <f>IFERROR(VLOOKUP($H181,'[1]Actual &amp; PO  Analysis 2020'!$A$4:$BJ$300,62,0),"")</f>
        <v/>
      </c>
      <c r="J181" s="24" t="str">
        <f>IFERROR(VLOOKUP($H181,'[1]Actual &amp; PO  Analysis 2020'!$A$4:$BP$300,68,0),"")</f>
        <v/>
      </c>
      <c r="K181" s="24" t="str">
        <f>IFERROR(VLOOKUP($H181,'[1]Actual &amp; PO  Analysis 2020'!$A$4:$BV$300,74,0),"")</f>
        <v/>
      </c>
      <c r="L181" s="24" t="str">
        <f>IFERROR(VLOOKUP($H181,'[1]Actual &amp; PO  Analysis 2020'!$A$4:$CB$300,80,0),"")</f>
        <v/>
      </c>
      <c r="M181" s="24" t="str">
        <f>IFERROR(VLOOKUP($H181,'[1]Actual &amp; PO  Analysis 2020'!$A$4:$CH$300,86,0),"")</f>
        <v/>
      </c>
      <c r="N181" s="25">
        <v>0</v>
      </c>
    </row>
    <row r="182" spans="1:14" x14ac:dyDescent="0.25">
      <c r="A182" s="11" t="s">
        <v>86</v>
      </c>
      <c r="B182" s="17">
        <v>0</v>
      </c>
      <c r="C182" s="17">
        <v>1.52</v>
      </c>
      <c r="D182" s="17">
        <v>1.83</v>
      </c>
      <c r="E182" s="17">
        <v>0.1</v>
      </c>
      <c r="F182" s="17">
        <v>0.81</v>
      </c>
      <c r="G182" s="22">
        <f t="shared" si="2"/>
        <v>4.26</v>
      </c>
      <c r="H182" s="11" t="s">
        <v>135</v>
      </c>
      <c r="I182" s="24" t="str">
        <f>IFERROR(VLOOKUP($H182,'[1]Actual &amp; PO  Analysis 2020'!$A$4:$BJ$300,62,0),"")</f>
        <v/>
      </c>
      <c r="J182" s="24" t="str">
        <f>IFERROR(VLOOKUP($H182,'[1]Actual &amp; PO  Analysis 2020'!$A$4:$BP$300,68,0),"")</f>
        <v/>
      </c>
      <c r="K182" s="24" t="str">
        <f>IFERROR(VLOOKUP($H182,'[1]Actual &amp; PO  Analysis 2020'!$A$4:$BV$300,74,0),"")</f>
        <v/>
      </c>
      <c r="L182" s="24" t="str">
        <f>IFERROR(VLOOKUP($H182,'[1]Actual &amp; PO  Analysis 2020'!$A$4:$CB$300,80,0),"")</f>
        <v/>
      </c>
      <c r="M182" s="24" t="str">
        <f>IFERROR(VLOOKUP($H182,'[1]Actual &amp; PO  Analysis 2020'!$A$4:$CH$300,86,0),"")</f>
        <v/>
      </c>
      <c r="N182" s="25">
        <v>0</v>
      </c>
    </row>
    <row r="183" spans="1:14" x14ac:dyDescent="0.25">
      <c r="A183" s="11" t="s">
        <v>85</v>
      </c>
      <c r="B183" s="17">
        <v>0</v>
      </c>
      <c r="C183" s="17">
        <v>4.202</v>
      </c>
      <c r="D183" s="17">
        <v>3.9020000000000001</v>
      </c>
      <c r="E183" s="17">
        <v>0.21299999999999999</v>
      </c>
      <c r="F183" s="17">
        <v>1.728</v>
      </c>
      <c r="G183" s="22">
        <f t="shared" si="2"/>
        <v>10.044999999999998</v>
      </c>
      <c r="H183" s="11" t="s">
        <v>136</v>
      </c>
      <c r="I183" s="24" t="str">
        <f>IFERROR(VLOOKUP($H183,'[1]Actual &amp; PO  Analysis 2020'!$A$4:$BJ$300,62,0),"")</f>
        <v/>
      </c>
      <c r="J183" s="24" t="str">
        <f>IFERROR(VLOOKUP($H183,'[1]Actual &amp; PO  Analysis 2020'!$A$4:$BP$300,68,0),"")</f>
        <v/>
      </c>
      <c r="K183" s="24" t="str">
        <f>IFERROR(VLOOKUP($H183,'[1]Actual &amp; PO  Analysis 2020'!$A$4:$BV$300,74,0),"")</f>
        <v/>
      </c>
      <c r="L183" s="24" t="str">
        <f>IFERROR(VLOOKUP($H183,'[1]Actual &amp; PO  Analysis 2020'!$A$4:$CB$300,80,0),"")</f>
        <v/>
      </c>
      <c r="M183" s="24" t="str">
        <f>IFERROR(VLOOKUP($H183,'[1]Actual &amp; PO  Analysis 2020'!$A$4:$CH$300,86,0),"")</f>
        <v/>
      </c>
      <c r="N183" s="25">
        <v>0</v>
      </c>
    </row>
    <row r="184" spans="1:14" x14ac:dyDescent="0.25">
      <c r="A184" s="11" t="s">
        <v>215</v>
      </c>
      <c r="B184" s="17">
        <v>0</v>
      </c>
      <c r="C184" s="17">
        <v>4.806</v>
      </c>
      <c r="D184" s="17">
        <v>2.895</v>
      </c>
      <c r="E184" s="17">
        <v>0.11600000000000001</v>
      </c>
      <c r="F184" s="17">
        <v>0.96099999999999997</v>
      </c>
      <c r="G184" s="22">
        <f t="shared" si="2"/>
        <v>8.7780000000000005</v>
      </c>
      <c r="H184" s="11" t="s">
        <v>161</v>
      </c>
      <c r="I184" s="24" t="str">
        <f>IFERROR(VLOOKUP($H184,'[1]Actual &amp; PO  Analysis 2020'!$A$4:$BJ$300,62,0),"")</f>
        <v/>
      </c>
      <c r="J184" s="24" t="str">
        <f>IFERROR(VLOOKUP($H184,'[1]Actual &amp; PO  Analysis 2020'!$A$4:$BP$300,68,0),"")</f>
        <v/>
      </c>
      <c r="K184" s="24" t="str">
        <f>IFERROR(VLOOKUP($H184,'[1]Actual &amp; PO  Analysis 2020'!$A$4:$BV$300,74,0),"")</f>
        <v/>
      </c>
      <c r="L184" s="24" t="str">
        <f>IFERROR(VLOOKUP($H184,'[1]Actual &amp; PO  Analysis 2020'!$A$4:$CB$300,80,0),"")</f>
        <v/>
      </c>
      <c r="M184" s="24" t="str">
        <f>IFERROR(VLOOKUP($H184,'[1]Actual &amp; PO  Analysis 2020'!$A$4:$CH$300,86,0),"")</f>
        <v/>
      </c>
      <c r="N184" s="25">
        <v>0</v>
      </c>
    </row>
    <row r="185" spans="1:14" x14ac:dyDescent="0.25">
      <c r="A185" s="11" t="s">
        <v>39</v>
      </c>
      <c r="B185" s="17">
        <v>0</v>
      </c>
      <c r="C185" s="17">
        <v>0.89400000000000002</v>
      </c>
      <c r="D185" s="17">
        <v>2.0630000000000002</v>
      </c>
      <c r="E185" s="17">
        <v>8.4000000000000005E-2</v>
      </c>
      <c r="F185" s="17">
        <v>0.45900000000000002</v>
      </c>
      <c r="G185" s="22">
        <f t="shared" si="2"/>
        <v>3.5000000000000004</v>
      </c>
      <c r="H185" s="11" t="s">
        <v>11</v>
      </c>
      <c r="I185" s="24" t="str">
        <f>IFERROR(VLOOKUP($H185,'[1]Actual &amp; PO  Analysis 2020'!$A$4:$BJ$300,62,0),"")</f>
        <v>0</v>
      </c>
      <c r="J185" s="24">
        <f>IFERROR(VLOOKUP($H185,'[1]Actual &amp; PO  Analysis 2020'!$A$4:$BP$300,68,0),"")</f>
        <v>8.0960000000000001</v>
      </c>
      <c r="K185" s="24">
        <f>IFERROR(VLOOKUP($H185,'[1]Actual &amp; PO  Analysis 2020'!$A$4:$BV$300,74,0),"")</f>
        <v>7.8</v>
      </c>
      <c r="L185" s="24">
        <f>IFERROR(VLOOKUP($H185,'[1]Actual &amp; PO  Analysis 2020'!$A$4:$CB$300,80,0),"")</f>
        <v>0.16900000000000001</v>
      </c>
      <c r="M185" s="24">
        <f>IFERROR(VLOOKUP($H185,'[1]Actual &amp; PO  Analysis 2020'!$A$4:$CH$300,86,0),"")</f>
        <v>1.3979999999999999</v>
      </c>
      <c r="N185" s="25">
        <v>17.463000000000001</v>
      </c>
    </row>
    <row r="186" spans="1:14" x14ac:dyDescent="0.25">
      <c r="A186" s="11" t="s">
        <v>27</v>
      </c>
      <c r="B186" s="17">
        <v>0</v>
      </c>
      <c r="C186" s="17">
        <v>1.8</v>
      </c>
      <c r="D186" s="17">
        <v>1.96</v>
      </c>
      <c r="E186" s="17">
        <v>0.1</v>
      </c>
      <c r="F186" s="17">
        <v>0.54</v>
      </c>
      <c r="G186" s="22">
        <f t="shared" si="2"/>
        <v>4.4000000000000004</v>
      </c>
      <c r="H186" s="11" t="s">
        <v>86</v>
      </c>
      <c r="I186" s="24" t="str">
        <f>IFERROR(VLOOKUP($H186,'[1]Actual &amp; PO  Analysis 2020'!$A$4:$BJ$300,62,0),"")</f>
        <v/>
      </c>
      <c r="J186" s="24" t="str">
        <f>IFERROR(VLOOKUP($H186,'[1]Actual &amp; PO  Analysis 2020'!$A$4:$BP$300,68,0),"")</f>
        <v/>
      </c>
      <c r="K186" s="24" t="str">
        <f>IFERROR(VLOOKUP($H186,'[1]Actual &amp; PO  Analysis 2020'!$A$4:$BV$300,74,0),"")</f>
        <v/>
      </c>
      <c r="L186" s="24" t="str">
        <f>IFERROR(VLOOKUP($H186,'[1]Actual &amp; PO  Analysis 2020'!$A$4:$CB$300,80,0),"")</f>
        <v/>
      </c>
      <c r="M186" s="24" t="str">
        <f>IFERROR(VLOOKUP($H186,'[1]Actual &amp; PO  Analysis 2020'!$A$4:$CH$300,86,0),"")</f>
        <v/>
      </c>
      <c r="N186" s="25">
        <v>0</v>
      </c>
    </row>
    <row r="187" spans="1:14" x14ac:dyDescent="0.25">
      <c r="A187" s="11" t="s">
        <v>37</v>
      </c>
      <c r="B187" s="17">
        <v>0</v>
      </c>
      <c r="C187" s="17">
        <v>2.4269733513454144</v>
      </c>
      <c r="D187" s="17">
        <v>5.0112505310187725</v>
      </c>
      <c r="E187" s="17">
        <v>0.22471975475420503</v>
      </c>
      <c r="F187" s="17">
        <v>1.2134866756727072</v>
      </c>
      <c r="G187" s="22">
        <f t="shared" si="2"/>
        <v>8.8764303127910988</v>
      </c>
      <c r="H187" s="11" t="s">
        <v>85</v>
      </c>
      <c r="I187" s="24" t="str">
        <f>IFERROR(VLOOKUP($H187,'[1]Actual &amp; PO  Analysis 2020'!$A$4:$BJ$300,62,0),"")</f>
        <v/>
      </c>
      <c r="J187" s="24" t="str">
        <f>IFERROR(VLOOKUP($H187,'[1]Actual &amp; PO  Analysis 2020'!$A$4:$BP$300,68,0),"")</f>
        <v/>
      </c>
      <c r="K187" s="24" t="str">
        <f>IFERROR(VLOOKUP($H187,'[1]Actual &amp; PO  Analysis 2020'!$A$4:$BV$300,74,0),"")</f>
        <v/>
      </c>
      <c r="L187" s="24" t="str">
        <f>IFERROR(VLOOKUP($H187,'[1]Actual &amp; PO  Analysis 2020'!$A$4:$CB$300,80,0),"")</f>
        <v/>
      </c>
      <c r="M187" s="24" t="str">
        <f>IFERROR(VLOOKUP($H187,'[1]Actual &amp; PO  Analysis 2020'!$A$4:$CH$300,86,0),"")</f>
        <v/>
      </c>
      <c r="N187" s="25">
        <v>0</v>
      </c>
    </row>
    <row r="188" spans="1:14" x14ac:dyDescent="0.25">
      <c r="A188" s="11" t="s">
        <v>291</v>
      </c>
      <c r="B188" s="17">
        <v>0</v>
      </c>
      <c r="C188" s="17">
        <v>1.415</v>
      </c>
      <c r="D188" s="17">
        <v>4.2229999999999999</v>
      </c>
      <c r="E188" s="17">
        <v>0.10100000000000001</v>
      </c>
      <c r="F188" s="17">
        <v>0.72699999999999998</v>
      </c>
      <c r="G188" s="22">
        <f t="shared" si="2"/>
        <v>6.4660000000000002</v>
      </c>
      <c r="H188" s="11" t="s">
        <v>215</v>
      </c>
      <c r="I188" s="24" t="str">
        <f>IFERROR(VLOOKUP($H188,'[1]Actual &amp; PO  Analysis 2020'!$A$4:$BJ$300,62,0),"")</f>
        <v/>
      </c>
      <c r="J188" s="24" t="str">
        <f>IFERROR(VLOOKUP($H188,'[1]Actual &amp; PO  Analysis 2020'!$A$4:$BP$300,68,0),"")</f>
        <v/>
      </c>
      <c r="K188" s="24" t="str">
        <f>IFERROR(VLOOKUP($H188,'[1]Actual &amp; PO  Analysis 2020'!$A$4:$BV$300,74,0),"")</f>
        <v/>
      </c>
      <c r="L188" s="24" t="str">
        <f>IFERROR(VLOOKUP($H188,'[1]Actual &amp; PO  Analysis 2020'!$A$4:$CB$300,80,0),"")</f>
        <v/>
      </c>
      <c r="M188" s="24" t="str">
        <f>IFERROR(VLOOKUP($H188,'[1]Actual &amp; PO  Analysis 2020'!$A$4:$CH$300,86,0),"")</f>
        <v/>
      </c>
      <c r="N188" s="25">
        <v>0</v>
      </c>
    </row>
    <row r="189" spans="1:14" x14ac:dyDescent="0.25">
      <c r="A189" s="11" t="s">
        <v>316</v>
      </c>
      <c r="B189" s="17">
        <v>0</v>
      </c>
      <c r="C189" s="17">
        <v>2.5009999999999999</v>
      </c>
      <c r="D189" s="17">
        <v>2.2000000000000002</v>
      </c>
      <c r="E189" s="17">
        <v>8.2000000000000003E-2</v>
      </c>
      <c r="F189" s="17">
        <v>0.7</v>
      </c>
      <c r="G189" s="22">
        <f t="shared" si="2"/>
        <v>5.4830000000000005</v>
      </c>
      <c r="H189" s="11" t="s">
        <v>39</v>
      </c>
      <c r="I189" s="24" t="str">
        <f>IFERROR(VLOOKUP($H189,'[1]Actual &amp; PO  Analysis 2020'!$A$4:$BJ$300,62,0),"")</f>
        <v/>
      </c>
      <c r="J189" s="24" t="str">
        <f>IFERROR(VLOOKUP($H189,'[1]Actual &amp; PO  Analysis 2020'!$A$4:$BP$300,68,0),"")</f>
        <v/>
      </c>
      <c r="K189" s="24" t="str">
        <f>IFERROR(VLOOKUP($H189,'[1]Actual &amp; PO  Analysis 2020'!$A$4:$BV$300,74,0),"")</f>
        <v/>
      </c>
      <c r="L189" s="24" t="str">
        <f>IFERROR(VLOOKUP($H189,'[1]Actual &amp; PO  Analysis 2020'!$A$4:$CB$300,80,0),"")</f>
        <v/>
      </c>
      <c r="M189" s="24" t="str">
        <f>IFERROR(VLOOKUP($H189,'[1]Actual &amp; PO  Analysis 2020'!$A$4:$CH$300,86,0),"")</f>
        <v/>
      </c>
      <c r="N189" s="25">
        <v>0</v>
      </c>
    </row>
    <row r="190" spans="1:14" x14ac:dyDescent="0.25">
      <c r="A190" s="11" t="s">
        <v>254</v>
      </c>
      <c r="B190" s="17">
        <v>0</v>
      </c>
      <c r="C190" s="17">
        <v>2.3889999999999998</v>
      </c>
      <c r="D190" s="17">
        <v>3.2510000000000003</v>
      </c>
      <c r="E190" s="17">
        <v>0.16600000000000001</v>
      </c>
      <c r="F190" s="17">
        <v>1.194</v>
      </c>
      <c r="G190" s="22">
        <f t="shared" si="2"/>
        <v>7.0000000000000009</v>
      </c>
      <c r="H190" s="11" t="s">
        <v>27</v>
      </c>
      <c r="I190" s="24" t="str">
        <f>IFERROR(VLOOKUP($H190,'[1]Actual &amp; PO  Analysis 2020'!$A$4:$BJ$300,62,0),"")</f>
        <v/>
      </c>
      <c r="J190" s="24" t="str">
        <f>IFERROR(VLOOKUP($H190,'[1]Actual &amp; PO  Analysis 2020'!$A$4:$BP$300,68,0),"")</f>
        <v/>
      </c>
      <c r="K190" s="24" t="str">
        <f>IFERROR(VLOOKUP($H190,'[1]Actual &amp; PO  Analysis 2020'!$A$4:$BV$300,74,0),"")</f>
        <v/>
      </c>
      <c r="L190" s="24" t="str">
        <f>IFERROR(VLOOKUP($H190,'[1]Actual &amp; PO  Analysis 2020'!$A$4:$CB$300,80,0),"")</f>
        <v/>
      </c>
      <c r="M190" s="24" t="str">
        <f>IFERROR(VLOOKUP($H190,'[1]Actual &amp; PO  Analysis 2020'!$A$4:$CH$300,86,0),"")</f>
        <v/>
      </c>
      <c r="N190" s="25">
        <v>0</v>
      </c>
    </row>
    <row r="191" spans="1:14" x14ac:dyDescent="0.25">
      <c r="A191" s="11" t="s">
        <v>6</v>
      </c>
      <c r="B191" s="17">
        <v>0</v>
      </c>
      <c r="C191" s="17">
        <v>0.8</v>
      </c>
      <c r="D191" s="17">
        <v>2.1799999999999997</v>
      </c>
      <c r="E191" s="17">
        <v>0.1</v>
      </c>
      <c r="F191" s="17">
        <v>0.50700000000000001</v>
      </c>
      <c r="G191" s="22">
        <f t="shared" si="2"/>
        <v>3.5869999999999997</v>
      </c>
      <c r="H191" s="11" t="s">
        <v>37</v>
      </c>
      <c r="I191" s="24" t="str">
        <f>IFERROR(VLOOKUP($H191,'[1]Actual &amp; PO  Analysis 2020'!$A$4:$BJ$300,62,0),"")</f>
        <v>0</v>
      </c>
      <c r="J191" s="24">
        <f>IFERROR(VLOOKUP($H191,'[1]Actual &amp; PO  Analysis 2020'!$A$4:$BP$300,68,0),"")</f>
        <v>2.1819999999999999</v>
      </c>
      <c r="K191" s="24">
        <f>IFERROR(VLOOKUP($H191,'[1]Actual &amp; PO  Analysis 2020'!$A$4:$BV$300,74,0),"")</f>
        <v>3.4620000000000002</v>
      </c>
      <c r="L191" s="24">
        <f>IFERROR(VLOOKUP($H191,'[1]Actual &amp; PO  Analysis 2020'!$A$4:$CB$300,80,0),"")</f>
        <v>0.16200000000000001</v>
      </c>
      <c r="M191" s="24">
        <f>IFERROR(VLOOKUP($H191,'[1]Actual &amp; PO  Analysis 2020'!$A$4:$CH$300,86,0),"")</f>
        <v>0.97499999999999998</v>
      </c>
      <c r="N191" s="25">
        <v>6.7809999999999997</v>
      </c>
    </row>
    <row r="192" spans="1:14" x14ac:dyDescent="0.25">
      <c r="A192" s="11" t="s">
        <v>131</v>
      </c>
      <c r="B192" s="17">
        <v>0</v>
      </c>
      <c r="C192" s="17">
        <v>1.157</v>
      </c>
      <c r="D192" s="17">
        <v>1.3340000000000001</v>
      </c>
      <c r="E192" s="17">
        <v>5.1999999999999998E-2</v>
      </c>
      <c r="F192" s="17">
        <v>0.45700000000000002</v>
      </c>
      <c r="G192" s="22">
        <f t="shared" si="2"/>
        <v>3</v>
      </c>
      <c r="H192" s="11" t="s">
        <v>291</v>
      </c>
      <c r="I192" s="24" t="str">
        <f>IFERROR(VLOOKUP($H192,'[1]Actual &amp; PO  Analysis 2020'!$A$4:$BJ$300,62,0),"")</f>
        <v/>
      </c>
      <c r="J192" s="24" t="str">
        <f>IFERROR(VLOOKUP($H192,'[1]Actual &amp; PO  Analysis 2020'!$A$4:$BP$300,68,0),"")</f>
        <v/>
      </c>
      <c r="K192" s="24" t="str">
        <f>IFERROR(VLOOKUP($H192,'[1]Actual &amp; PO  Analysis 2020'!$A$4:$BV$300,74,0),"")</f>
        <v/>
      </c>
      <c r="L192" s="24" t="str">
        <f>IFERROR(VLOOKUP($H192,'[1]Actual &amp; PO  Analysis 2020'!$A$4:$CB$300,80,0),"")</f>
        <v/>
      </c>
      <c r="M192" s="24" t="str">
        <f>IFERROR(VLOOKUP($H192,'[1]Actual &amp; PO  Analysis 2020'!$A$4:$CH$300,86,0),"")</f>
        <v/>
      </c>
      <c r="N192" s="25">
        <v>0</v>
      </c>
    </row>
    <row r="193" spans="1:14" x14ac:dyDescent="0.25">
      <c r="A193" s="11" t="s">
        <v>96</v>
      </c>
      <c r="B193" s="17">
        <v>0.98</v>
      </c>
      <c r="C193" s="17">
        <v>0.68</v>
      </c>
      <c r="D193" s="17">
        <v>1.8900000000000001</v>
      </c>
      <c r="E193" s="17">
        <v>0.1</v>
      </c>
      <c r="F193" s="17">
        <v>0.81</v>
      </c>
      <c r="G193" s="22">
        <f t="shared" si="2"/>
        <v>4.4600000000000009</v>
      </c>
      <c r="H193" s="11" t="s">
        <v>316</v>
      </c>
      <c r="I193" s="24" t="str">
        <f>IFERROR(VLOOKUP($H193,'[1]Actual &amp; PO  Analysis 2020'!$A$4:$BJ$300,62,0),"")</f>
        <v>0</v>
      </c>
      <c r="J193" s="24">
        <f>IFERROR(VLOOKUP($H193,'[1]Actual &amp; PO  Analysis 2020'!$A$4:$BP$300,68,0),"")</f>
        <v>6.548</v>
      </c>
      <c r="K193" s="24">
        <f>IFERROR(VLOOKUP($H193,'[1]Actual &amp; PO  Analysis 2020'!$A$4:$BV$300,74,0),"")</f>
        <v>2.8609999999999998</v>
      </c>
      <c r="L193" s="24">
        <f>IFERROR(VLOOKUP($H193,'[1]Actual &amp; PO  Analysis 2020'!$A$4:$CB$300,80,0),"")</f>
        <v>0.17549999999999999</v>
      </c>
      <c r="M193" s="24">
        <f>IFERROR(VLOOKUP($H193,'[1]Actual &amp; PO  Analysis 2020'!$A$4:$CH$300,86,0),"")</f>
        <v>1.284</v>
      </c>
      <c r="N193" s="25">
        <v>4.7270000000000003</v>
      </c>
    </row>
    <row r="194" spans="1:14" x14ac:dyDescent="0.25">
      <c r="A194" s="11" t="s">
        <v>53</v>
      </c>
      <c r="B194" s="17">
        <v>0</v>
      </c>
      <c r="C194" s="17">
        <v>4.45</v>
      </c>
      <c r="D194" s="17">
        <v>3.028</v>
      </c>
      <c r="E194" s="17">
        <v>8.6999999999999994E-2</v>
      </c>
      <c r="F194" s="17">
        <v>0.93500000000000005</v>
      </c>
      <c r="G194" s="22">
        <f t="shared" ref="G194:G257" si="3">SUM(B194:F194)</f>
        <v>8.5</v>
      </c>
      <c r="H194" s="11" t="s">
        <v>254</v>
      </c>
      <c r="I194" s="24" t="str">
        <f>IFERROR(VLOOKUP($H194,'[1]Actual &amp; PO  Analysis 2020'!$A$4:$BJ$300,62,0),"")</f>
        <v/>
      </c>
      <c r="J194" s="24" t="str">
        <f>IFERROR(VLOOKUP($H194,'[1]Actual &amp; PO  Analysis 2020'!$A$4:$BP$300,68,0),"")</f>
        <v/>
      </c>
      <c r="K194" s="24" t="str">
        <f>IFERROR(VLOOKUP($H194,'[1]Actual &amp; PO  Analysis 2020'!$A$4:$BV$300,74,0),"")</f>
        <v/>
      </c>
      <c r="L194" s="24" t="str">
        <f>IFERROR(VLOOKUP($H194,'[1]Actual &amp; PO  Analysis 2020'!$A$4:$CB$300,80,0),"")</f>
        <v/>
      </c>
      <c r="M194" s="24" t="str">
        <f>IFERROR(VLOOKUP($H194,'[1]Actual &amp; PO  Analysis 2020'!$A$4:$CH$300,86,0),"")</f>
        <v/>
      </c>
      <c r="N194" s="25">
        <v>0</v>
      </c>
    </row>
    <row r="195" spans="1:14" x14ac:dyDescent="0.25">
      <c r="A195" s="11" t="s">
        <v>74</v>
      </c>
      <c r="B195" s="17">
        <v>0</v>
      </c>
      <c r="C195" s="17">
        <v>5.14</v>
      </c>
      <c r="D195" s="17">
        <v>3.62</v>
      </c>
      <c r="E195" s="17">
        <v>0.1</v>
      </c>
      <c r="F195" s="17">
        <v>1.08</v>
      </c>
      <c r="G195" s="22">
        <f t="shared" si="3"/>
        <v>9.94</v>
      </c>
      <c r="H195" s="11" t="s">
        <v>6</v>
      </c>
      <c r="I195" s="24" t="str">
        <f>IFERROR(VLOOKUP($H195,'[1]Actual &amp; PO  Analysis 2020'!$A$4:$BJ$300,62,0),"")</f>
        <v/>
      </c>
      <c r="J195" s="24" t="str">
        <f>IFERROR(VLOOKUP($H195,'[1]Actual &amp; PO  Analysis 2020'!$A$4:$BP$300,68,0),"")</f>
        <v/>
      </c>
      <c r="K195" s="24" t="str">
        <f>IFERROR(VLOOKUP($H195,'[1]Actual &amp; PO  Analysis 2020'!$A$4:$BV$300,74,0),"")</f>
        <v/>
      </c>
      <c r="L195" s="24" t="str">
        <f>IFERROR(VLOOKUP($H195,'[1]Actual &amp; PO  Analysis 2020'!$A$4:$CB$300,80,0),"")</f>
        <v/>
      </c>
      <c r="M195" s="24" t="str">
        <f>IFERROR(VLOOKUP($H195,'[1]Actual &amp; PO  Analysis 2020'!$A$4:$CH$300,86,0),"")</f>
        <v/>
      </c>
      <c r="N195" s="25">
        <v>0</v>
      </c>
    </row>
    <row r="196" spans="1:14" x14ac:dyDescent="0.25">
      <c r="A196" s="11" t="s">
        <v>130</v>
      </c>
      <c r="B196" s="17">
        <v>0</v>
      </c>
      <c r="C196" s="17">
        <v>5.75</v>
      </c>
      <c r="D196" s="17">
        <v>3.7399999999999998</v>
      </c>
      <c r="E196" s="17">
        <v>0.1</v>
      </c>
      <c r="F196" s="17">
        <v>0.96</v>
      </c>
      <c r="G196" s="22">
        <f t="shared" si="3"/>
        <v>10.55</v>
      </c>
      <c r="H196" s="11" t="s">
        <v>131</v>
      </c>
      <c r="I196" s="24" t="str">
        <f>IFERROR(VLOOKUP($H196,'[1]Actual &amp; PO  Analysis 2020'!$A$4:$BJ$300,62,0),"")</f>
        <v/>
      </c>
      <c r="J196" s="24" t="str">
        <f>IFERROR(VLOOKUP($H196,'[1]Actual &amp; PO  Analysis 2020'!$A$4:$BP$300,68,0),"")</f>
        <v/>
      </c>
      <c r="K196" s="24" t="str">
        <f>IFERROR(VLOOKUP($H196,'[1]Actual &amp; PO  Analysis 2020'!$A$4:$BV$300,74,0),"")</f>
        <v/>
      </c>
      <c r="L196" s="24" t="str">
        <f>IFERROR(VLOOKUP($H196,'[1]Actual &amp; PO  Analysis 2020'!$A$4:$CB$300,80,0),"")</f>
        <v/>
      </c>
      <c r="M196" s="24" t="str">
        <f>IFERROR(VLOOKUP($H196,'[1]Actual &amp; PO  Analysis 2020'!$A$4:$CH$300,86,0),"")</f>
        <v/>
      </c>
      <c r="N196" s="25">
        <v>0</v>
      </c>
    </row>
    <row r="197" spans="1:14" x14ac:dyDescent="0.25">
      <c r="A197" s="11" t="s">
        <v>173</v>
      </c>
      <c r="B197" s="17">
        <v>0</v>
      </c>
      <c r="C197" s="17">
        <v>5.65</v>
      </c>
      <c r="D197" s="17">
        <v>3.7399999999999998</v>
      </c>
      <c r="E197" s="17">
        <v>0.1</v>
      </c>
      <c r="F197" s="17">
        <v>0.96</v>
      </c>
      <c r="G197" s="22">
        <f t="shared" si="3"/>
        <v>10.45</v>
      </c>
      <c r="H197" s="11" t="s">
        <v>96</v>
      </c>
      <c r="I197" s="24" t="str">
        <f>IFERROR(VLOOKUP($H197,'[1]Actual &amp; PO  Analysis 2020'!$A$4:$BJ$300,62,0),"")</f>
        <v/>
      </c>
      <c r="J197" s="24" t="str">
        <f>IFERROR(VLOOKUP($H197,'[1]Actual &amp; PO  Analysis 2020'!$A$4:$BP$300,68,0),"")</f>
        <v/>
      </c>
      <c r="K197" s="24" t="str">
        <f>IFERROR(VLOOKUP($H197,'[1]Actual &amp; PO  Analysis 2020'!$A$4:$BV$300,74,0),"")</f>
        <v/>
      </c>
      <c r="L197" s="24" t="str">
        <f>IFERROR(VLOOKUP($H197,'[1]Actual &amp; PO  Analysis 2020'!$A$4:$CB$300,80,0),"")</f>
        <v/>
      </c>
      <c r="M197" s="24" t="str">
        <f>IFERROR(VLOOKUP($H197,'[1]Actual &amp; PO  Analysis 2020'!$A$4:$CH$300,86,0),"")</f>
        <v/>
      </c>
      <c r="N197" s="25">
        <v>0</v>
      </c>
    </row>
    <row r="198" spans="1:14" x14ac:dyDescent="0.25">
      <c r="A198" s="11" t="s">
        <v>184</v>
      </c>
      <c r="B198" s="17">
        <v>0</v>
      </c>
      <c r="C198" s="17">
        <v>2.4300000000000002</v>
      </c>
      <c r="D198" s="17">
        <v>3.06</v>
      </c>
      <c r="E198" s="17">
        <v>0.2</v>
      </c>
      <c r="F198" s="17">
        <v>0.77</v>
      </c>
      <c r="G198" s="22">
        <f t="shared" si="3"/>
        <v>6.4600000000000009</v>
      </c>
      <c r="H198" s="11" t="s">
        <v>53</v>
      </c>
      <c r="I198" s="24" t="str">
        <f>IFERROR(VLOOKUP($H198,'[1]Actual &amp; PO  Analysis 2020'!$A$4:$BJ$300,62,0),"")</f>
        <v/>
      </c>
      <c r="J198" s="24" t="str">
        <f>IFERROR(VLOOKUP($H198,'[1]Actual &amp; PO  Analysis 2020'!$A$4:$BP$300,68,0),"")</f>
        <v/>
      </c>
      <c r="K198" s="24" t="str">
        <f>IFERROR(VLOOKUP($H198,'[1]Actual &amp; PO  Analysis 2020'!$A$4:$BV$300,74,0),"")</f>
        <v/>
      </c>
      <c r="L198" s="24" t="str">
        <f>IFERROR(VLOOKUP($H198,'[1]Actual &amp; PO  Analysis 2020'!$A$4:$CB$300,80,0),"")</f>
        <v/>
      </c>
      <c r="M198" s="24" t="str">
        <f>IFERROR(VLOOKUP($H198,'[1]Actual &amp; PO  Analysis 2020'!$A$4:$CH$300,86,0),"")</f>
        <v/>
      </c>
      <c r="N198" s="25">
        <v>0</v>
      </c>
    </row>
    <row r="199" spans="1:14" x14ac:dyDescent="0.25">
      <c r="A199" s="11" t="s">
        <v>205</v>
      </c>
      <c r="B199" s="17">
        <v>0</v>
      </c>
      <c r="C199" s="17">
        <v>0</v>
      </c>
      <c r="D199" s="17">
        <v>0</v>
      </c>
      <c r="E199" s="17">
        <v>0</v>
      </c>
      <c r="F199" s="17">
        <v>0</v>
      </c>
      <c r="G199" s="22">
        <f t="shared" si="3"/>
        <v>0</v>
      </c>
      <c r="H199" s="11" t="s">
        <v>74</v>
      </c>
      <c r="I199" s="24" t="str">
        <f>IFERROR(VLOOKUP($H199,'[1]Actual &amp; PO  Analysis 2020'!$A$4:$BJ$300,62,0),"")</f>
        <v/>
      </c>
      <c r="J199" s="24" t="str">
        <f>IFERROR(VLOOKUP($H199,'[1]Actual &amp; PO  Analysis 2020'!$A$4:$BP$300,68,0),"")</f>
        <v/>
      </c>
      <c r="K199" s="24" t="str">
        <f>IFERROR(VLOOKUP($H199,'[1]Actual &amp; PO  Analysis 2020'!$A$4:$BV$300,74,0),"")</f>
        <v/>
      </c>
      <c r="L199" s="24" t="str">
        <f>IFERROR(VLOOKUP($H199,'[1]Actual &amp; PO  Analysis 2020'!$A$4:$CB$300,80,0),"")</f>
        <v/>
      </c>
      <c r="M199" s="24" t="str">
        <f>IFERROR(VLOOKUP($H199,'[1]Actual &amp; PO  Analysis 2020'!$A$4:$CH$300,86,0),"")</f>
        <v/>
      </c>
      <c r="N199" s="25">
        <v>0</v>
      </c>
    </row>
    <row r="200" spans="1:14" x14ac:dyDescent="0.25">
      <c r="A200" s="11" t="s">
        <v>190</v>
      </c>
      <c r="B200" s="17">
        <v>0</v>
      </c>
      <c r="C200" s="17">
        <v>6.49</v>
      </c>
      <c r="D200" s="17">
        <v>4.8100000000000005</v>
      </c>
      <c r="E200" s="17">
        <v>0.1</v>
      </c>
      <c r="F200" s="17">
        <v>0.9</v>
      </c>
      <c r="G200" s="22">
        <f t="shared" si="3"/>
        <v>12.3</v>
      </c>
      <c r="H200" s="11" t="s">
        <v>130</v>
      </c>
      <c r="I200" s="24" t="str">
        <f>IFERROR(VLOOKUP($H200,'[1]Actual &amp; PO  Analysis 2020'!$A$4:$BJ$300,62,0),"")</f>
        <v/>
      </c>
      <c r="J200" s="24" t="str">
        <f>IFERROR(VLOOKUP($H200,'[1]Actual &amp; PO  Analysis 2020'!$A$4:$BP$300,68,0),"")</f>
        <v/>
      </c>
      <c r="K200" s="24" t="str">
        <f>IFERROR(VLOOKUP($H200,'[1]Actual &amp; PO  Analysis 2020'!$A$4:$BV$300,74,0),"")</f>
        <v/>
      </c>
      <c r="L200" s="24" t="str">
        <f>IFERROR(VLOOKUP($H200,'[1]Actual &amp; PO  Analysis 2020'!$A$4:$CB$300,80,0),"")</f>
        <v/>
      </c>
      <c r="M200" s="24" t="str">
        <f>IFERROR(VLOOKUP($H200,'[1]Actual &amp; PO  Analysis 2020'!$A$4:$CH$300,86,0),"")</f>
        <v/>
      </c>
      <c r="N200" s="25">
        <v>0</v>
      </c>
    </row>
    <row r="201" spans="1:14" x14ac:dyDescent="0.25">
      <c r="A201" s="11" t="s">
        <v>187</v>
      </c>
      <c r="B201" s="17">
        <v>0</v>
      </c>
      <c r="C201" s="17">
        <v>6.79</v>
      </c>
      <c r="D201" s="17">
        <v>4.92</v>
      </c>
      <c r="E201" s="17">
        <v>0.1</v>
      </c>
      <c r="F201" s="17">
        <v>1.19</v>
      </c>
      <c r="G201" s="22">
        <f t="shared" si="3"/>
        <v>13</v>
      </c>
      <c r="H201" s="11" t="s">
        <v>173</v>
      </c>
      <c r="I201" s="24" t="str">
        <f>IFERROR(VLOOKUP($H201,'[1]Actual &amp; PO  Analysis 2020'!$A$4:$BJ$300,62,0),"")</f>
        <v/>
      </c>
      <c r="J201" s="24" t="str">
        <f>IFERROR(VLOOKUP($H201,'[1]Actual &amp; PO  Analysis 2020'!$A$4:$BP$300,68,0),"")</f>
        <v/>
      </c>
      <c r="K201" s="24" t="str">
        <f>IFERROR(VLOOKUP($H201,'[1]Actual &amp; PO  Analysis 2020'!$A$4:$BV$300,74,0),"")</f>
        <v/>
      </c>
      <c r="L201" s="24" t="str">
        <f>IFERROR(VLOOKUP($H201,'[1]Actual &amp; PO  Analysis 2020'!$A$4:$CB$300,80,0),"")</f>
        <v/>
      </c>
      <c r="M201" s="24" t="str">
        <f>IFERROR(VLOOKUP($H201,'[1]Actual &amp; PO  Analysis 2020'!$A$4:$CH$300,86,0),"")</f>
        <v/>
      </c>
      <c r="N201" s="25">
        <v>0</v>
      </c>
    </row>
    <row r="202" spans="1:14" x14ac:dyDescent="0.25">
      <c r="A202" s="11" t="s">
        <v>185</v>
      </c>
      <c r="B202" s="17">
        <v>0</v>
      </c>
      <c r="C202" s="17">
        <v>3.109</v>
      </c>
      <c r="D202" s="17">
        <v>3.379</v>
      </c>
      <c r="E202" s="17">
        <v>9.2999999999999999E-2</v>
      </c>
      <c r="F202" s="17">
        <v>0.71899999999999997</v>
      </c>
      <c r="G202" s="22">
        <f t="shared" si="3"/>
        <v>7.3</v>
      </c>
      <c r="H202" s="11" t="s">
        <v>184</v>
      </c>
      <c r="I202" s="24" t="str">
        <f>IFERROR(VLOOKUP($H202,'[1]Actual &amp; PO  Analysis 2020'!$A$4:$BJ$300,62,0),"")</f>
        <v/>
      </c>
      <c r="J202" s="24" t="str">
        <f>IFERROR(VLOOKUP($H202,'[1]Actual &amp; PO  Analysis 2020'!$A$4:$BP$300,68,0),"")</f>
        <v/>
      </c>
      <c r="K202" s="24" t="str">
        <f>IFERROR(VLOOKUP($H202,'[1]Actual &amp; PO  Analysis 2020'!$A$4:$BV$300,74,0),"")</f>
        <v/>
      </c>
      <c r="L202" s="24" t="str">
        <f>IFERROR(VLOOKUP($H202,'[1]Actual &amp; PO  Analysis 2020'!$A$4:$CB$300,80,0),"")</f>
        <v/>
      </c>
      <c r="M202" s="24" t="str">
        <f>IFERROR(VLOOKUP($H202,'[1]Actual &amp; PO  Analysis 2020'!$A$4:$CH$300,86,0),"")</f>
        <v/>
      </c>
      <c r="N202" s="25">
        <v>0</v>
      </c>
    </row>
    <row r="203" spans="1:14" x14ac:dyDescent="0.25">
      <c r="A203" s="11" t="s">
        <v>206</v>
      </c>
      <c r="B203" s="17">
        <v>0</v>
      </c>
      <c r="C203" s="17">
        <v>0</v>
      </c>
      <c r="D203" s="17">
        <v>0</v>
      </c>
      <c r="E203" s="17">
        <v>0</v>
      </c>
      <c r="F203" s="17">
        <v>0</v>
      </c>
      <c r="G203" s="22">
        <f t="shared" si="3"/>
        <v>0</v>
      </c>
      <c r="H203" s="11" t="s">
        <v>205</v>
      </c>
      <c r="I203" s="24" t="str">
        <f>IFERROR(VLOOKUP($H203,'[1]Actual &amp; PO  Analysis 2020'!$A$4:$BJ$300,62,0),"")</f>
        <v/>
      </c>
      <c r="J203" s="24" t="str">
        <f>IFERROR(VLOOKUP($H203,'[1]Actual &amp; PO  Analysis 2020'!$A$4:$BP$300,68,0),"")</f>
        <v/>
      </c>
      <c r="K203" s="24" t="str">
        <f>IFERROR(VLOOKUP($H203,'[1]Actual &amp; PO  Analysis 2020'!$A$4:$BV$300,74,0),"")</f>
        <v/>
      </c>
      <c r="L203" s="24" t="str">
        <f>IFERROR(VLOOKUP($H203,'[1]Actual &amp; PO  Analysis 2020'!$A$4:$CB$300,80,0),"")</f>
        <v/>
      </c>
      <c r="M203" s="24" t="str">
        <f>IFERROR(VLOOKUP($H203,'[1]Actual &amp; PO  Analysis 2020'!$A$4:$CH$300,86,0),"")</f>
        <v/>
      </c>
      <c r="N203" s="25">
        <v>0</v>
      </c>
    </row>
    <row r="204" spans="1:14" x14ac:dyDescent="0.25">
      <c r="A204" s="11" t="s">
        <v>240</v>
      </c>
      <c r="B204" s="17">
        <v>0</v>
      </c>
      <c r="C204" s="17">
        <v>3.86</v>
      </c>
      <c r="D204" s="17">
        <v>2.74</v>
      </c>
      <c r="E204" s="17">
        <v>0.1</v>
      </c>
      <c r="F204" s="17">
        <v>0.92</v>
      </c>
      <c r="G204" s="22">
        <f t="shared" si="3"/>
        <v>7.6199999999999992</v>
      </c>
      <c r="H204" s="11" t="s">
        <v>190</v>
      </c>
      <c r="I204" s="24" t="str">
        <f>IFERROR(VLOOKUP($H204,'[1]Actual &amp; PO  Analysis 2020'!$A$4:$BJ$300,62,0),"")</f>
        <v/>
      </c>
      <c r="J204" s="24" t="str">
        <f>IFERROR(VLOOKUP($H204,'[1]Actual &amp; PO  Analysis 2020'!$A$4:$BP$300,68,0),"")</f>
        <v/>
      </c>
      <c r="K204" s="24" t="str">
        <f>IFERROR(VLOOKUP($H204,'[1]Actual &amp; PO  Analysis 2020'!$A$4:$BV$300,74,0),"")</f>
        <v/>
      </c>
      <c r="L204" s="24" t="str">
        <f>IFERROR(VLOOKUP($H204,'[1]Actual &amp; PO  Analysis 2020'!$A$4:$CB$300,80,0),"")</f>
        <v/>
      </c>
      <c r="M204" s="24" t="str">
        <f>IFERROR(VLOOKUP($H204,'[1]Actual &amp; PO  Analysis 2020'!$A$4:$CH$300,86,0),"")</f>
        <v/>
      </c>
      <c r="N204" s="25">
        <v>0</v>
      </c>
    </row>
    <row r="205" spans="1:14" x14ac:dyDescent="0.25">
      <c r="A205" s="11" t="s">
        <v>75</v>
      </c>
      <c r="B205" s="17">
        <v>0</v>
      </c>
      <c r="C205" s="17">
        <v>7.76</v>
      </c>
      <c r="D205" s="17">
        <v>4.68</v>
      </c>
      <c r="E205" s="17">
        <v>0.92</v>
      </c>
      <c r="F205" s="17">
        <v>1.1200000000000001</v>
      </c>
      <c r="G205" s="22">
        <f t="shared" si="3"/>
        <v>14.48</v>
      </c>
      <c r="H205" s="11" t="s">
        <v>187</v>
      </c>
      <c r="I205" s="24" t="str">
        <f>IFERROR(VLOOKUP($H205,'[1]Actual &amp; PO  Analysis 2020'!$A$4:$BJ$300,62,0),"")</f>
        <v/>
      </c>
      <c r="J205" s="24" t="str">
        <f>IFERROR(VLOOKUP($H205,'[1]Actual &amp; PO  Analysis 2020'!$A$4:$BP$300,68,0),"")</f>
        <v/>
      </c>
      <c r="K205" s="24" t="str">
        <f>IFERROR(VLOOKUP($H205,'[1]Actual &amp; PO  Analysis 2020'!$A$4:$BV$300,74,0),"")</f>
        <v/>
      </c>
      <c r="L205" s="24" t="str">
        <f>IFERROR(VLOOKUP($H205,'[1]Actual &amp; PO  Analysis 2020'!$A$4:$CB$300,80,0),"")</f>
        <v/>
      </c>
      <c r="M205" s="24" t="str">
        <f>IFERROR(VLOOKUP($H205,'[1]Actual &amp; PO  Analysis 2020'!$A$4:$CH$300,86,0),"")</f>
        <v/>
      </c>
      <c r="N205" s="25">
        <v>0</v>
      </c>
    </row>
    <row r="206" spans="1:14" x14ac:dyDescent="0.25">
      <c r="A206" s="11" t="s">
        <v>66</v>
      </c>
      <c r="B206" s="17">
        <v>0</v>
      </c>
      <c r="C206" s="17">
        <v>5.9</v>
      </c>
      <c r="D206" s="17">
        <v>4.68</v>
      </c>
      <c r="E206" s="17">
        <v>0.92</v>
      </c>
      <c r="F206" s="17">
        <v>1.1200000000000001</v>
      </c>
      <c r="G206" s="22">
        <f t="shared" si="3"/>
        <v>12.620000000000001</v>
      </c>
      <c r="H206" s="11" t="s">
        <v>185</v>
      </c>
      <c r="I206" s="24" t="str">
        <f>IFERROR(VLOOKUP($H206,'[1]Actual &amp; PO  Analysis 2020'!$A$4:$BJ$300,62,0),"")</f>
        <v/>
      </c>
      <c r="J206" s="24" t="str">
        <f>IFERROR(VLOOKUP($H206,'[1]Actual &amp; PO  Analysis 2020'!$A$4:$BP$300,68,0),"")</f>
        <v/>
      </c>
      <c r="K206" s="24" t="str">
        <f>IFERROR(VLOOKUP($H206,'[1]Actual &amp; PO  Analysis 2020'!$A$4:$BV$300,74,0),"")</f>
        <v/>
      </c>
      <c r="L206" s="24" t="str">
        <f>IFERROR(VLOOKUP($H206,'[1]Actual &amp; PO  Analysis 2020'!$A$4:$CB$300,80,0),"")</f>
        <v/>
      </c>
      <c r="M206" s="24" t="str">
        <f>IFERROR(VLOOKUP($H206,'[1]Actual &amp; PO  Analysis 2020'!$A$4:$CH$300,86,0),"")</f>
        <v/>
      </c>
      <c r="N206" s="25">
        <v>0</v>
      </c>
    </row>
    <row r="207" spans="1:14" x14ac:dyDescent="0.25">
      <c r="A207" s="11" t="s">
        <v>92</v>
      </c>
      <c r="B207" s="17">
        <v>0</v>
      </c>
      <c r="C207" s="17">
        <v>4.1399999999999997</v>
      </c>
      <c r="D207" s="17">
        <v>4.68</v>
      </c>
      <c r="E207" s="17">
        <v>0.92</v>
      </c>
      <c r="F207" s="17">
        <v>1.1200000000000001</v>
      </c>
      <c r="G207" s="22">
        <f t="shared" si="3"/>
        <v>10.86</v>
      </c>
      <c r="H207" s="11" t="s">
        <v>206</v>
      </c>
      <c r="I207" s="24" t="str">
        <f>IFERROR(VLOOKUP($H207,'[1]Actual &amp; PO  Analysis 2020'!$A$4:$BJ$300,62,0),"")</f>
        <v/>
      </c>
      <c r="J207" s="24" t="str">
        <f>IFERROR(VLOOKUP($H207,'[1]Actual &amp; PO  Analysis 2020'!$A$4:$BP$300,68,0),"")</f>
        <v/>
      </c>
      <c r="K207" s="24" t="str">
        <f>IFERROR(VLOOKUP($H207,'[1]Actual &amp; PO  Analysis 2020'!$A$4:$BV$300,74,0),"")</f>
        <v/>
      </c>
      <c r="L207" s="24" t="str">
        <f>IFERROR(VLOOKUP($H207,'[1]Actual &amp; PO  Analysis 2020'!$A$4:$CB$300,80,0),"")</f>
        <v/>
      </c>
      <c r="M207" s="24" t="str">
        <f>IFERROR(VLOOKUP($H207,'[1]Actual &amp; PO  Analysis 2020'!$A$4:$CH$300,86,0),"")</f>
        <v/>
      </c>
      <c r="N207" s="25">
        <v>0</v>
      </c>
    </row>
    <row r="208" spans="1:14" x14ac:dyDescent="0.25">
      <c r="A208" s="11" t="s">
        <v>436</v>
      </c>
      <c r="B208" s="17">
        <v>0</v>
      </c>
      <c r="C208" s="17">
        <v>5</v>
      </c>
      <c r="D208" s="17">
        <v>6.32</v>
      </c>
      <c r="E208" s="17">
        <v>0</v>
      </c>
      <c r="F208" s="17">
        <v>0.6</v>
      </c>
      <c r="G208" s="22">
        <f t="shared" si="3"/>
        <v>11.92</v>
      </c>
      <c r="H208" s="11" t="s">
        <v>240</v>
      </c>
      <c r="I208" s="24" t="str">
        <f>IFERROR(VLOOKUP($H208,'[1]Actual &amp; PO  Analysis 2020'!$A$4:$BJ$300,62,0),"")</f>
        <v/>
      </c>
      <c r="J208" s="24" t="str">
        <f>IFERROR(VLOOKUP($H208,'[1]Actual &amp; PO  Analysis 2020'!$A$4:$BP$300,68,0),"")</f>
        <v/>
      </c>
      <c r="K208" s="24" t="str">
        <f>IFERROR(VLOOKUP($H208,'[1]Actual &amp; PO  Analysis 2020'!$A$4:$BV$300,74,0),"")</f>
        <v/>
      </c>
      <c r="L208" s="24" t="str">
        <f>IFERROR(VLOOKUP($H208,'[1]Actual &amp; PO  Analysis 2020'!$A$4:$CB$300,80,0),"")</f>
        <v/>
      </c>
      <c r="M208" s="24" t="str">
        <f>IFERROR(VLOOKUP($H208,'[1]Actual &amp; PO  Analysis 2020'!$A$4:$CH$300,86,0),"")</f>
        <v/>
      </c>
      <c r="N208" s="25">
        <v>0</v>
      </c>
    </row>
    <row r="209" spans="1:14" x14ac:dyDescent="0.25">
      <c r="A209" s="11" t="s">
        <v>105</v>
      </c>
      <c r="B209" s="17">
        <v>0</v>
      </c>
      <c r="C209" s="17">
        <v>2.0449999999999999</v>
      </c>
      <c r="D209" s="17">
        <v>1.5419999999999998</v>
      </c>
      <c r="E209" s="17">
        <v>0</v>
      </c>
      <c r="F209" s="17">
        <v>0.61299999999999999</v>
      </c>
      <c r="G209" s="22">
        <f t="shared" si="3"/>
        <v>4.1999999999999993</v>
      </c>
      <c r="H209" s="11" t="s">
        <v>75</v>
      </c>
      <c r="I209" s="24" t="str">
        <f>IFERROR(VLOOKUP($H209,'[1]Actual &amp; PO  Analysis 2020'!$A$4:$BJ$300,62,0),"")</f>
        <v/>
      </c>
      <c r="J209" s="24" t="str">
        <f>IFERROR(VLOOKUP($H209,'[1]Actual &amp; PO  Analysis 2020'!$A$4:$BP$300,68,0),"")</f>
        <v/>
      </c>
      <c r="K209" s="24" t="str">
        <f>IFERROR(VLOOKUP($H209,'[1]Actual &amp; PO  Analysis 2020'!$A$4:$BV$300,74,0),"")</f>
        <v/>
      </c>
      <c r="L209" s="24" t="str">
        <f>IFERROR(VLOOKUP($H209,'[1]Actual &amp; PO  Analysis 2020'!$A$4:$CB$300,80,0),"")</f>
        <v/>
      </c>
      <c r="M209" s="24" t="str">
        <f>IFERROR(VLOOKUP($H209,'[1]Actual &amp; PO  Analysis 2020'!$A$4:$CH$300,86,0),"")</f>
        <v/>
      </c>
      <c r="N209" s="25">
        <v>0</v>
      </c>
    </row>
    <row r="210" spans="1:14" x14ac:dyDescent="0.25">
      <c r="A210" s="11" t="s">
        <v>328</v>
      </c>
      <c r="B210" s="17">
        <v>0</v>
      </c>
      <c r="C210" s="17">
        <v>0</v>
      </c>
      <c r="D210" s="17">
        <v>0</v>
      </c>
      <c r="E210" s="17">
        <v>0</v>
      </c>
      <c r="F210" s="17">
        <v>0</v>
      </c>
      <c r="G210" s="22">
        <f t="shared" si="3"/>
        <v>0</v>
      </c>
      <c r="H210" s="11" t="s">
        <v>66</v>
      </c>
      <c r="I210" s="24" t="str">
        <f>IFERROR(VLOOKUP($H210,'[1]Actual &amp; PO  Analysis 2020'!$A$4:$BJ$300,62,0),"")</f>
        <v/>
      </c>
      <c r="J210" s="24" t="str">
        <f>IFERROR(VLOOKUP($H210,'[1]Actual &amp; PO  Analysis 2020'!$A$4:$BP$300,68,0),"")</f>
        <v/>
      </c>
      <c r="K210" s="24" t="str">
        <f>IFERROR(VLOOKUP($H210,'[1]Actual &amp; PO  Analysis 2020'!$A$4:$BV$300,74,0),"")</f>
        <v/>
      </c>
      <c r="L210" s="24" t="str">
        <f>IFERROR(VLOOKUP($H210,'[1]Actual &amp; PO  Analysis 2020'!$A$4:$CB$300,80,0),"")</f>
        <v/>
      </c>
      <c r="M210" s="24" t="str">
        <f>IFERROR(VLOOKUP($H210,'[1]Actual &amp; PO  Analysis 2020'!$A$4:$CH$300,86,0),"")</f>
        <v/>
      </c>
      <c r="N210" s="25">
        <v>0</v>
      </c>
    </row>
    <row r="211" spans="1:14" x14ac:dyDescent="0.25">
      <c r="A211" s="11" t="s">
        <v>327</v>
      </c>
      <c r="B211" s="17">
        <v>0</v>
      </c>
      <c r="C211" s="17">
        <v>0</v>
      </c>
      <c r="D211" s="17">
        <v>0</v>
      </c>
      <c r="E211" s="17">
        <v>0</v>
      </c>
      <c r="F211" s="17">
        <v>0</v>
      </c>
      <c r="G211" s="22">
        <f t="shared" si="3"/>
        <v>0</v>
      </c>
      <c r="H211" s="11" t="s">
        <v>92</v>
      </c>
      <c r="I211" s="24" t="str">
        <f>IFERROR(VLOOKUP($H211,'[1]Actual &amp; PO  Analysis 2020'!$A$4:$BJ$300,62,0),"")</f>
        <v/>
      </c>
      <c r="J211" s="24" t="str">
        <f>IFERROR(VLOOKUP($H211,'[1]Actual &amp; PO  Analysis 2020'!$A$4:$BP$300,68,0),"")</f>
        <v/>
      </c>
      <c r="K211" s="24" t="str">
        <f>IFERROR(VLOOKUP($H211,'[1]Actual &amp; PO  Analysis 2020'!$A$4:$BV$300,74,0),"")</f>
        <v/>
      </c>
      <c r="L211" s="24" t="str">
        <f>IFERROR(VLOOKUP($H211,'[1]Actual &amp; PO  Analysis 2020'!$A$4:$CB$300,80,0),"")</f>
        <v/>
      </c>
      <c r="M211" s="24" t="str">
        <f>IFERROR(VLOOKUP($H211,'[1]Actual &amp; PO  Analysis 2020'!$A$4:$CH$300,86,0),"")</f>
        <v/>
      </c>
      <c r="N211" s="25">
        <v>0</v>
      </c>
    </row>
    <row r="212" spans="1:14" x14ac:dyDescent="0.25">
      <c r="A212" s="11" t="s">
        <v>327</v>
      </c>
      <c r="B212" s="17">
        <v>0</v>
      </c>
      <c r="C212" s="17">
        <v>0</v>
      </c>
      <c r="D212" s="17">
        <v>0</v>
      </c>
      <c r="E212" s="17">
        <v>0</v>
      </c>
      <c r="F212" s="17">
        <v>0</v>
      </c>
      <c r="G212" s="22">
        <f t="shared" si="3"/>
        <v>0</v>
      </c>
      <c r="H212" s="11" t="s">
        <v>436</v>
      </c>
      <c r="I212" s="24">
        <f>IFERROR(VLOOKUP($H212,'[1]Actual &amp; PO  Analysis 2020'!$A$4:$BJ$300,62,0),"")</f>
        <v>0</v>
      </c>
      <c r="J212" s="24">
        <f>IFERROR(VLOOKUP($H212,'[1]Actual &amp; PO  Analysis 2020'!$A$4:$BP$300,68,0),"")</f>
        <v>0</v>
      </c>
      <c r="K212" s="24">
        <f>IFERROR(VLOOKUP($H212,'[1]Actual &amp; PO  Analysis 2020'!$A$4:$BV$300,74,0),"")</f>
        <v>0</v>
      </c>
      <c r="L212" s="24">
        <f>IFERROR(VLOOKUP($H212,'[1]Actual &amp; PO  Analysis 2020'!$A$4:$CB$300,80,0),"")</f>
        <v>0</v>
      </c>
      <c r="M212" s="24">
        <f>IFERROR(VLOOKUP($H212,'[1]Actual &amp; PO  Analysis 2020'!$A$4:$CH$300,86,0),"")</f>
        <v>0</v>
      </c>
      <c r="N212" s="25">
        <v>0</v>
      </c>
    </row>
    <row r="213" spans="1:14" x14ac:dyDescent="0.25">
      <c r="A213" s="11" t="s">
        <v>322</v>
      </c>
      <c r="B213" s="17">
        <v>0</v>
      </c>
      <c r="C213" s="17">
        <v>0</v>
      </c>
      <c r="D213" s="17">
        <v>0</v>
      </c>
      <c r="E213" s="17">
        <v>0</v>
      </c>
      <c r="F213" s="17">
        <v>0</v>
      </c>
      <c r="G213" s="22">
        <f t="shared" si="3"/>
        <v>0</v>
      </c>
      <c r="H213" s="11" t="s">
        <v>105</v>
      </c>
      <c r="I213" s="24" t="str">
        <f>IFERROR(VLOOKUP($H213,'[1]Actual &amp; PO  Analysis 2020'!$A$4:$BJ$300,62,0),"")</f>
        <v/>
      </c>
      <c r="J213" s="24" t="str">
        <f>IFERROR(VLOOKUP($H213,'[1]Actual &amp; PO  Analysis 2020'!$A$4:$BP$300,68,0),"")</f>
        <v/>
      </c>
      <c r="K213" s="24" t="str">
        <f>IFERROR(VLOOKUP($H213,'[1]Actual &amp; PO  Analysis 2020'!$A$4:$BV$300,74,0),"")</f>
        <v/>
      </c>
      <c r="L213" s="24" t="str">
        <f>IFERROR(VLOOKUP($H213,'[1]Actual &amp; PO  Analysis 2020'!$A$4:$CB$300,80,0),"")</f>
        <v/>
      </c>
      <c r="M213" s="24" t="str">
        <f>IFERROR(VLOOKUP($H213,'[1]Actual &amp; PO  Analysis 2020'!$A$4:$CH$300,86,0),"")</f>
        <v/>
      </c>
      <c r="N213" s="25">
        <v>0</v>
      </c>
    </row>
    <row r="214" spans="1:14" x14ac:dyDescent="0.25">
      <c r="A214" s="11" t="s">
        <v>330</v>
      </c>
      <c r="B214" s="17">
        <v>0</v>
      </c>
      <c r="C214" s="17">
        <v>0</v>
      </c>
      <c r="D214" s="17">
        <v>0</v>
      </c>
      <c r="E214" s="17">
        <v>0</v>
      </c>
      <c r="F214" s="17">
        <v>0</v>
      </c>
      <c r="G214" s="22">
        <f t="shared" si="3"/>
        <v>0</v>
      </c>
      <c r="H214" s="11" t="s">
        <v>328</v>
      </c>
      <c r="I214" s="24" t="str">
        <f>IFERROR(VLOOKUP($H214,'[1]Actual &amp; PO  Analysis 2020'!$A$4:$BJ$300,62,0),"")</f>
        <v/>
      </c>
      <c r="J214" s="24" t="str">
        <f>IFERROR(VLOOKUP($H214,'[1]Actual &amp; PO  Analysis 2020'!$A$4:$BP$300,68,0),"")</f>
        <v/>
      </c>
      <c r="K214" s="24" t="str">
        <f>IFERROR(VLOOKUP($H214,'[1]Actual &amp; PO  Analysis 2020'!$A$4:$BV$300,74,0),"")</f>
        <v/>
      </c>
      <c r="L214" s="24" t="str">
        <f>IFERROR(VLOOKUP($H214,'[1]Actual &amp; PO  Analysis 2020'!$A$4:$CB$300,80,0),"")</f>
        <v/>
      </c>
      <c r="M214" s="24" t="str">
        <f>IFERROR(VLOOKUP($H214,'[1]Actual &amp; PO  Analysis 2020'!$A$4:$CH$300,86,0),"")</f>
        <v/>
      </c>
      <c r="N214" s="25">
        <v>0</v>
      </c>
    </row>
    <row r="215" spans="1:14" x14ac:dyDescent="0.25">
      <c r="A215" s="11" t="s">
        <v>232</v>
      </c>
      <c r="B215" s="17">
        <v>0</v>
      </c>
      <c r="C215" s="17">
        <v>0</v>
      </c>
      <c r="D215" s="17">
        <v>0</v>
      </c>
      <c r="E215" s="17">
        <v>0</v>
      </c>
      <c r="F215" s="17">
        <v>0</v>
      </c>
      <c r="G215" s="22">
        <f t="shared" si="3"/>
        <v>0</v>
      </c>
      <c r="H215" s="11" t="s">
        <v>327</v>
      </c>
      <c r="I215" s="24" t="str">
        <f>IFERROR(VLOOKUP($H215,'[1]Actual &amp; PO  Analysis 2020'!$A$4:$BJ$300,62,0),"")</f>
        <v/>
      </c>
      <c r="J215" s="24" t="str">
        <f>IFERROR(VLOOKUP($H215,'[1]Actual &amp; PO  Analysis 2020'!$A$4:$BP$300,68,0),"")</f>
        <v/>
      </c>
      <c r="K215" s="24" t="str">
        <f>IFERROR(VLOOKUP($H215,'[1]Actual &amp; PO  Analysis 2020'!$A$4:$BV$300,74,0),"")</f>
        <v/>
      </c>
      <c r="L215" s="24" t="str">
        <f>IFERROR(VLOOKUP($H215,'[1]Actual &amp; PO  Analysis 2020'!$A$4:$CB$300,80,0),"")</f>
        <v/>
      </c>
      <c r="M215" s="24" t="str">
        <f>IFERROR(VLOOKUP($H215,'[1]Actual &amp; PO  Analysis 2020'!$A$4:$CH$300,86,0),"")</f>
        <v/>
      </c>
      <c r="N215" s="25">
        <v>0</v>
      </c>
    </row>
    <row r="216" spans="1:14" x14ac:dyDescent="0.25">
      <c r="A216" s="11" t="s">
        <v>340</v>
      </c>
      <c r="B216" s="17">
        <v>0</v>
      </c>
      <c r="C216" s="17">
        <v>0</v>
      </c>
      <c r="D216" s="17">
        <v>0</v>
      </c>
      <c r="E216" s="17">
        <v>0</v>
      </c>
      <c r="F216" s="17">
        <v>0</v>
      </c>
      <c r="G216" s="22">
        <f t="shared" si="3"/>
        <v>0</v>
      </c>
      <c r="H216" s="11" t="s">
        <v>327</v>
      </c>
      <c r="I216" s="24" t="str">
        <f>IFERROR(VLOOKUP($H216,'[1]Actual &amp; PO  Analysis 2020'!$A$4:$BJ$300,62,0),"")</f>
        <v/>
      </c>
      <c r="J216" s="24" t="str">
        <f>IFERROR(VLOOKUP($H216,'[1]Actual &amp; PO  Analysis 2020'!$A$4:$BP$300,68,0),"")</f>
        <v/>
      </c>
      <c r="K216" s="24" t="str">
        <f>IFERROR(VLOOKUP($H216,'[1]Actual &amp; PO  Analysis 2020'!$A$4:$BV$300,74,0),"")</f>
        <v/>
      </c>
      <c r="L216" s="24" t="str">
        <f>IFERROR(VLOOKUP($H216,'[1]Actual &amp; PO  Analysis 2020'!$A$4:$CB$300,80,0),"")</f>
        <v/>
      </c>
      <c r="M216" s="24" t="str">
        <f>IFERROR(VLOOKUP($H216,'[1]Actual &amp; PO  Analysis 2020'!$A$4:$CH$300,86,0),"")</f>
        <v/>
      </c>
      <c r="N216" s="25">
        <v>0</v>
      </c>
    </row>
    <row r="217" spans="1:14" x14ac:dyDescent="0.25">
      <c r="A217" s="11" t="s">
        <v>331</v>
      </c>
      <c r="B217" s="17">
        <v>0</v>
      </c>
      <c r="C217" s="17">
        <v>0</v>
      </c>
      <c r="D217" s="17">
        <v>0</v>
      </c>
      <c r="E217" s="17">
        <v>0</v>
      </c>
      <c r="F217" s="17">
        <v>0</v>
      </c>
      <c r="G217" s="22">
        <f t="shared" si="3"/>
        <v>0</v>
      </c>
      <c r="H217" s="11" t="s">
        <v>322</v>
      </c>
      <c r="I217" s="24" t="str">
        <f>IFERROR(VLOOKUP($H217,'[1]Actual &amp; PO  Analysis 2020'!$A$4:$BJ$300,62,0),"")</f>
        <v/>
      </c>
      <c r="J217" s="24" t="str">
        <f>IFERROR(VLOOKUP($H217,'[1]Actual &amp; PO  Analysis 2020'!$A$4:$BP$300,68,0),"")</f>
        <v/>
      </c>
      <c r="K217" s="24" t="str">
        <f>IFERROR(VLOOKUP($H217,'[1]Actual &amp; PO  Analysis 2020'!$A$4:$BV$300,74,0),"")</f>
        <v/>
      </c>
      <c r="L217" s="24" t="str">
        <f>IFERROR(VLOOKUP($H217,'[1]Actual &amp; PO  Analysis 2020'!$A$4:$CB$300,80,0),"")</f>
        <v/>
      </c>
      <c r="M217" s="24" t="str">
        <f>IFERROR(VLOOKUP($H217,'[1]Actual &amp; PO  Analysis 2020'!$A$4:$CH$300,86,0),"")</f>
        <v/>
      </c>
      <c r="N217" s="25">
        <v>0</v>
      </c>
    </row>
    <row r="218" spans="1:14" x14ac:dyDescent="0.25">
      <c r="A218" s="11" t="s">
        <v>332</v>
      </c>
      <c r="B218" s="17">
        <v>0</v>
      </c>
      <c r="C218" s="17">
        <v>0</v>
      </c>
      <c r="D218" s="17">
        <v>0</v>
      </c>
      <c r="E218" s="17">
        <v>0</v>
      </c>
      <c r="F218" s="17">
        <v>0</v>
      </c>
      <c r="G218" s="22">
        <f t="shared" si="3"/>
        <v>0</v>
      </c>
      <c r="H218" s="11" t="s">
        <v>330</v>
      </c>
      <c r="I218" s="24" t="str">
        <f>IFERROR(VLOOKUP($H218,'[1]Actual &amp; PO  Analysis 2020'!$A$4:$BJ$300,62,0),"")</f>
        <v/>
      </c>
      <c r="J218" s="24" t="str">
        <f>IFERROR(VLOOKUP($H218,'[1]Actual &amp; PO  Analysis 2020'!$A$4:$BP$300,68,0),"")</f>
        <v/>
      </c>
      <c r="K218" s="24" t="str">
        <f>IFERROR(VLOOKUP($H218,'[1]Actual &amp; PO  Analysis 2020'!$A$4:$BV$300,74,0),"")</f>
        <v/>
      </c>
      <c r="L218" s="24" t="str">
        <f>IFERROR(VLOOKUP($H218,'[1]Actual &amp; PO  Analysis 2020'!$A$4:$CB$300,80,0),"")</f>
        <v/>
      </c>
      <c r="M218" s="24" t="str">
        <f>IFERROR(VLOOKUP($H218,'[1]Actual &amp; PO  Analysis 2020'!$A$4:$CH$300,86,0),"")</f>
        <v/>
      </c>
      <c r="N218" s="25">
        <v>0</v>
      </c>
    </row>
    <row r="219" spans="1:14" x14ac:dyDescent="0.25">
      <c r="A219" s="11" t="s">
        <v>428</v>
      </c>
      <c r="B219" s="17">
        <v>0</v>
      </c>
      <c r="C219" s="17">
        <v>8.7200000000000006</v>
      </c>
      <c r="D219" s="17">
        <v>3.61</v>
      </c>
      <c r="E219" s="17">
        <v>0.19</v>
      </c>
      <c r="F219" s="17">
        <v>0.96</v>
      </c>
      <c r="G219" s="22">
        <f t="shared" si="3"/>
        <v>13.48</v>
      </c>
      <c r="H219" s="11" t="s">
        <v>232</v>
      </c>
      <c r="I219" s="24" t="str">
        <f>IFERROR(VLOOKUP($H219,'[1]Actual &amp; PO  Analysis 2020'!$A$4:$BJ$300,62,0),"")</f>
        <v/>
      </c>
      <c r="J219" s="24" t="str">
        <f>IFERROR(VLOOKUP($H219,'[1]Actual &amp; PO  Analysis 2020'!$A$4:$BP$300,68,0),"")</f>
        <v/>
      </c>
      <c r="K219" s="24" t="str">
        <f>IFERROR(VLOOKUP($H219,'[1]Actual &amp; PO  Analysis 2020'!$A$4:$BV$300,74,0),"")</f>
        <v/>
      </c>
      <c r="L219" s="24" t="str">
        <f>IFERROR(VLOOKUP($H219,'[1]Actual &amp; PO  Analysis 2020'!$A$4:$CB$300,80,0),"")</f>
        <v/>
      </c>
      <c r="M219" s="24" t="str">
        <f>IFERROR(VLOOKUP($H219,'[1]Actual &amp; PO  Analysis 2020'!$A$4:$CH$300,86,0),"")</f>
        <v/>
      </c>
      <c r="N219" s="25">
        <v>0</v>
      </c>
    </row>
    <row r="220" spans="1:14" x14ac:dyDescent="0.25">
      <c r="A220" s="11" t="s">
        <v>13</v>
      </c>
      <c r="B220" s="17">
        <v>0</v>
      </c>
      <c r="C220" s="17">
        <v>1.3</v>
      </c>
      <c r="D220" s="17">
        <v>2.09</v>
      </c>
      <c r="E220" s="17">
        <v>0.1</v>
      </c>
      <c r="F220" s="17">
        <v>0.75</v>
      </c>
      <c r="G220" s="22">
        <f t="shared" si="3"/>
        <v>4.24</v>
      </c>
      <c r="H220" s="11" t="s">
        <v>340</v>
      </c>
      <c r="I220" s="24" t="str">
        <f>IFERROR(VLOOKUP($H220,'[1]Actual &amp; PO  Analysis 2020'!$A$4:$BJ$300,62,0),"")</f>
        <v/>
      </c>
      <c r="J220" s="24" t="str">
        <f>IFERROR(VLOOKUP($H220,'[1]Actual &amp; PO  Analysis 2020'!$A$4:$BP$300,68,0),"")</f>
        <v/>
      </c>
      <c r="K220" s="24" t="str">
        <f>IFERROR(VLOOKUP($H220,'[1]Actual &amp; PO  Analysis 2020'!$A$4:$BV$300,74,0),"")</f>
        <v/>
      </c>
      <c r="L220" s="24" t="str">
        <f>IFERROR(VLOOKUP($H220,'[1]Actual &amp; PO  Analysis 2020'!$A$4:$CB$300,80,0),"")</f>
        <v/>
      </c>
      <c r="M220" s="24" t="str">
        <f>IFERROR(VLOOKUP($H220,'[1]Actual &amp; PO  Analysis 2020'!$A$4:$CH$300,86,0),"")</f>
        <v/>
      </c>
      <c r="N220" s="25">
        <v>0</v>
      </c>
    </row>
    <row r="221" spans="1:14" x14ac:dyDescent="0.25">
      <c r="A221" s="11" t="s">
        <v>99</v>
      </c>
      <c r="B221" s="17">
        <v>0.9</v>
      </c>
      <c r="C221" s="17">
        <v>0.49</v>
      </c>
      <c r="D221" s="17">
        <v>1.8900000000000001</v>
      </c>
      <c r="E221" s="17">
        <v>0.1</v>
      </c>
      <c r="F221" s="17">
        <v>0.74</v>
      </c>
      <c r="G221" s="22">
        <f t="shared" si="3"/>
        <v>4.12</v>
      </c>
      <c r="H221" s="11" t="s">
        <v>331</v>
      </c>
      <c r="I221" s="24" t="str">
        <f>IFERROR(VLOOKUP($H221,'[1]Actual &amp; PO  Analysis 2020'!$A$4:$BJ$300,62,0),"")</f>
        <v/>
      </c>
      <c r="J221" s="24" t="str">
        <f>IFERROR(VLOOKUP($H221,'[1]Actual &amp; PO  Analysis 2020'!$A$4:$BP$300,68,0),"")</f>
        <v/>
      </c>
      <c r="K221" s="24" t="str">
        <f>IFERROR(VLOOKUP($H221,'[1]Actual &amp; PO  Analysis 2020'!$A$4:$BV$300,74,0),"")</f>
        <v/>
      </c>
      <c r="L221" s="24" t="str">
        <f>IFERROR(VLOOKUP($H221,'[1]Actual &amp; PO  Analysis 2020'!$A$4:$CB$300,80,0),"")</f>
        <v/>
      </c>
      <c r="M221" s="24" t="str">
        <f>IFERROR(VLOOKUP($H221,'[1]Actual &amp; PO  Analysis 2020'!$A$4:$CH$300,86,0),"")</f>
        <v/>
      </c>
      <c r="N221" s="25">
        <v>0</v>
      </c>
    </row>
    <row r="222" spans="1:14" x14ac:dyDescent="0.25">
      <c r="A222" s="11" t="s">
        <v>186</v>
      </c>
      <c r="B222" s="17">
        <v>0</v>
      </c>
      <c r="C222" s="17">
        <v>3.028</v>
      </c>
      <c r="D222" s="17">
        <v>2.9649999999999999</v>
      </c>
      <c r="E222" s="17">
        <v>9.0999999999999998E-2</v>
      </c>
      <c r="F222" s="17">
        <v>0.71599999999999997</v>
      </c>
      <c r="G222" s="22">
        <f t="shared" si="3"/>
        <v>6.8000000000000007</v>
      </c>
      <c r="H222" s="11" t="s">
        <v>332</v>
      </c>
      <c r="I222" s="24" t="str">
        <f>IFERROR(VLOOKUP($H222,'[1]Actual &amp; PO  Analysis 2020'!$A$4:$BJ$300,62,0),"")</f>
        <v/>
      </c>
      <c r="J222" s="24" t="str">
        <f>IFERROR(VLOOKUP($H222,'[1]Actual &amp; PO  Analysis 2020'!$A$4:$BP$300,68,0),"")</f>
        <v/>
      </c>
      <c r="K222" s="24" t="str">
        <f>IFERROR(VLOOKUP($H222,'[1]Actual &amp; PO  Analysis 2020'!$A$4:$BV$300,74,0),"")</f>
        <v/>
      </c>
      <c r="L222" s="24" t="str">
        <f>IFERROR(VLOOKUP($H222,'[1]Actual &amp; PO  Analysis 2020'!$A$4:$CB$300,80,0),"")</f>
        <v/>
      </c>
      <c r="M222" s="24" t="str">
        <f>IFERROR(VLOOKUP($H222,'[1]Actual &amp; PO  Analysis 2020'!$A$4:$CH$300,86,0),"")</f>
        <v/>
      </c>
      <c r="N222" s="25">
        <v>0</v>
      </c>
    </row>
    <row r="223" spans="1:14" x14ac:dyDescent="0.25">
      <c r="A223" s="11" t="s">
        <v>188</v>
      </c>
      <c r="B223" s="17">
        <v>0</v>
      </c>
      <c r="C223" s="17">
        <v>5.4</v>
      </c>
      <c r="D223" s="17">
        <v>3.7800000000000002</v>
      </c>
      <c r="E223" s="17">
        <v>0.1</v>
      </c>
      <c r="F223" s="17">
        <v>0.85</v>
      </c>
      <c r="G223" s="22">
        <f t="shared" si="3"/>
        <v>10.129999999999999</v>
      </c>
      <c r="H223" s="11" t="s">
        <v>428</v>
      </c>
      <c r="I223" s="24" t="str">
        <f>IFERROR(VLOOKUP($H223,'[1]Actual &amp; PO  Analysis 2020'!$A$4:$BJ$300,62,0),"")</f>
        <v/>
      </c>
      <c r="J223" s="24" t="str">
        <f>IFERROR(VLOOKUP($H223,'[1]Actual &amp; PO  Analysis 2020'!$A$4:$BP$300,68,0),"")</f>
        <v/>
      </c>
      <c r="K223" s="24" t="str">
        <f>IFERROR(VLOOKUP($H223,'[1]Actual &amp; PO  Analysis 2020'!$A$4:$BV$300,74,0),"")</f>
        <v/>
      </c>
      <c r="L223" s="24" t="str">
        <f>IFERROR(VLOOKUP($H223,'[1]Actual &amp; PO  Analysis 2020'!$A$4:$CB$300,80,0),"")</f>
        <v/>
      </c>
      <c r="M223" s="24" t="str">
        <f>IFERROR(VLOOKUP($H223,'[1]Actual &amp; PO  Analysis 2020'!$A$4:$CH$300,86,0),"")</f>
        <v/>
      </c>
      <c r="N223" s="25">
        <v>0</v>
      </c>
    </row>
    <row r="224" spans="1:14" x14ac:dyDescent="0.25">
      <c r="A224" s="11" t="s">
        <v>65</v>
      </c>
      <c r="B224" s="17">
        <v>0</v>
      </c>
      <c r="C224" s="17">
        <v>10.8</v>
      </c>
      <c r="D224" s="17">
        <v>11.14</v>
      </c>
      <c r="E224" s="17">
        <v>0</v>
      </c>
      <c r="F224" s="17">
        <v>1.49</v>
      </c>
      <c r="G224" s="22">
        <f t="shared" si="3"/>
        <v>23.43</v>
      </c>
      <c r="H224" s="11" t="s">
        <v>13</v>
      </c>
      <c r="I224" s="24" t="str">
        <f>IFERROR(VLOOKUP($H224,'[1]Actual &amp; PO  Analysis 2020'!$A$4:$BJ$300,62,0),"")</f>
        <v/>
      </c>
      <c r="J224" s="24" t="str">
        <f>IFERROR(VLOOKUP($H224,'[1]Actual &amp; PO  Analysis 2020'!$A$4:$BP$300,68,0),"")</f>
        <v/>
      </c>
      <c r="K224" s="24" t="str">
        <f>IFERROR(VLOOKUP($H224,'[1]Actual &amp; PO  Analysis 2020'!$A$4:$BV$300,74,0),"")</f>
        <v/>
      </c>
      <c r="L224" s="24" t="str">
        <f>IFERROR(VLOOKUP($H224,'[1]Actual &amp; PO  Analysis 2020'!$A$4:$CB$300,80,0),"")</f>
        <v/>
      </c>
      <c r="M224" s="24" t="str">
        <f>IFERROR(VLOOKUP($H224,'[1]Actual &amp; PO  Analysis 2020'!$A$4:$CH$300,86,0),"")</f>
        <v/>
      </c>
      <c r="N224" s="25">
        <v>0</v>
      </c>
    </row>
    <row r="225" spans="1:14" x14ac:dyDescent="0.25">
      <c r="A225" s="11" t="s">
        <v>59</v>
      </c>
      <c r="B225" s="17">
        <v>0</v>
      </c>
      <c r="C225" s="17">
        <v>10</v>
      </c>
      <c r="D225" s="17">
        <v>7.61</v>
      </c>
      <c r="E225" s="17">
        <v>3.53</v>
      </c>
      <c r="F225" s="17">
        <v>1.49</v>
      </c>
      <c r="G225" s="22">
        <f t="shared" si="3"/>
        <v>22.63</v>
      </c>
      <c r="H225" s="11" t="s">
        <v>99</v>
      </c>
      <c r="I225" s="24" t="str">
        <f>IFERROR(VLOOKUP($H225,'[1]Actual &amp; PO  Analysis 2020'!$A$4:$BJ$300,62,0),"")</f>
        <v/>
      </c>
      <c r="J225" s="24" t="str">
        <f>IFERROR(VLOOKUP($H225,'[1]Actual &amp; PO  Analysis 2020'!$A$4:$BP$300,68,0),"")</f>
        <v/>
      </c>
      <c r="K225" s="24" t="str">
        <f>IFERROR(VLOOKUP($H225,'[1]Actual &amp; PO  Analysis 2020'!$A$4:$BV$300,74,0),"")</f>
        <v/>
      </c>
      <c r="L225" s="24" t="str">
        <f>IFERROR(VLOOKUP($H225,'[1]Actual &amp; PO  Analysis 2020'!$A$4:$CB$300,80,0),"")</f>
        <v/>
      </c>
      <c r="M225" s="24" t="str">
        <f>IFERROR(VLOOKUP($H225,'[1]Actual &amp; PO  Analysis 2020'!$A$4:$CH$300,86,0),"")</f>
        <v/>
      </c>
      <c r="N225" s="25">
        <v>0</v>
      </c>
    </row>
    <row r="226" spans="1:14" x14ac:dyDescent="0.25">
      <c r="A226" s="11" t="s">
        <v>63</v>
      </c>
      <c r="B226" s="17">
        <v>0</v>
      </c>
      <c r="C226" s="17">
        <v>10</v>
      </c>
      <c r="D226" s="17">
        <v>11.14</v>
      </c>
      <c r="E226" s="17">
        <v>0</v>
      </c>
      <c r="F226" s="17">
        <v>1.49</v>
      </c>
      <c r="G226" s="22">
        <f t="shared" si="3"/>
        <v>22.63</v>
      </c>
      <c r="H226" s="11" t="s">
        <v>186</v>
      </c>
      <c r="I226" s="24" t="str">
        <f>IFERROR(VLOOKUP($H226,'[1]Actual &amp; PO  Analysis 2020'!$A$4:$BJ$300,62,0),"")</f>
        <v/>
      </c>
      <c r="J226" s="24" t="str">
        <f>IFERROR(VLOOKUP($H226,'[1]Actual &amp; PO  Analysis 2020'!$A$4:$BP$300,68,0),"")</f>
        <v/>
      </c>
      <c r="K226" s="24" t="str">
        <f>IFERROR(VLOOKUP($H226,'[1]Actual &amp; PO  Analysis 2020'!$A$4:$BV$300,74,0),"")</f>
        <v/>
      </c>
      <c r="L226" s="24" t="str">
        <f>IFERROR(VLOOKUP($H226,'[1]Actual &amp; PO  Analysis 2020'!$A$4:$CB$300,80,0),"")</f>
        <v/>
      </c>
      <c r="M226" s="24" t="str">
        <f>IFERROR(VLOOKUP($H226,'[1]Actual &amp; PO  Analysis 2020'!$A$4:$CH$300,86,0),"")</f>
        <v/>
      </c>
      <c r="N226" s="25">
        <v>0</v>
      </c>
    </row>
    <row r="227" spans="1:14" x14ac:dyDescent="0.25">
      <c r="A227" s="11" t="s">
        <v>67</v>
      </c>
      <c r="B227" s="17">
        <v>0</v>
      </c>
      <c r="C227" s="17">
        <v>10</v>
      </c>
      <c r="D227" s="17">
        <v>11.14</v>
      </c>
      <c r="E227" s="17">
        <v>0</v>
      </c>
      <c r="F227" s="17">
        <v>1.49</v>
      </c>
      <c r="G227" s="22">
        <f t="shared" si="3"/>
        <v>22.63</v>
      </c>
      <c r="H227" s="11" t="s">
        <v>188</v>
      </c>
      <c r="I227" s="24" t="str">
        <f>IFERROR(VLOOKUP($H227,'[1]Actual &amp; PO  Analysis 2020'!$A$4:$BJ$300,62,0),"")</f>
        <v/>
      </c>
      <c r="J227" s="24" t="str">
        <f>IFERROR(VLOOKUP($H227,'[1]Actual &amp; PO  Analysis 2020'!$A$4:$BP$300,68,0),"")</f>
        <v/>
      </c>
      <c r="K227" s="24" t="str">
        <f>IFERROR(VLOOKUP($H227,'[1]Actual &amp; PO  Analysis 2020'!$A$4:$BV$300,74,0),"")</f>
        <v/>
      </c>
      <c r="L227" s="24" t="str">
        <f>IFERROR(VLOOKUP($H227,'[1]Actual &amp; PO  Analysis 2020'!$A$4:$CB$300,80,0),"")</f>
        <v/>
      </c>
      <c r="M227" s="24" t="str">
        <f>IFERROR(VLOOKUP($H227,'[1]Actual &amp; PO  Analysis 2020'!$A$4:$CH$300,86,0),"")</f>
        <v/>
      </c>
      <c r="N227" s="25">
        <v>0</v>
      </c>
    </row>
    <row r="228" spans="1:14" x14ac:dyDescent="0.25">
      <c r="A228" s="11" t="s">
        <v>273</v>
      </c>
      <c r="B228" s="17">
        <v>0</v>
      </c>
      <c r="C228" s="17">
        <v>2.7</v>
      </c>
      <c r="D228" s="17">
        <v>11.14</v>
      </c>
      <c r="E228" s="17">
        <v>0</v>
      </c>
      <c r="F228" s="17">
        <v>1.49</v>
      </c>
      <c r="G228" s="22">
        <f t="shared" si="3"/>
        <v>15.33</v>
      </c>
      <c r="H228" s="11" t="s">
        <v>65</v>
      </c>
      <c r="I228" s="24" t="str">
        <f>IFERROR(VLOOKUP($H228,'[1]Actual &amp; PO  Analysis 2020'!$A$4:$BJ$300,62,0),"")</f>
        <v/>
      </c>
      <c r="J228" s="24" t="str">
        <f>IFERROR(VLOOKUP($H228,'[1]Actual &amp; PO  Analysis 2020'!$A$4:$BP$300,68,0),"")</f>
        <v/>
      </c>
      <c r="K228" s="24" t="str">
        <f>IFERROR(VLOOKUP($H228,'[1]Actual &amp; PO  Analysis 2020'!$A$4:$BV$300,74,0),"")</f>
        <v/>
      </c>
      <c r="L228" s="24" t="str">
        <f>IFERROR(VLOOKUP($H228,'[1]Actual &amp; PO  Analysis 2020'!$A$4:$CB$300,80,0),"")</f>
        <v/>
      </c>
      <c r="M228" s="24" t="str">
        <f>IFERROR(VLOOKUP($H228,'[1]Actual &amp; PO  Analysis 2020'!$A$4:$CH$300,86,0),"")</f>
        <v/>
      </c>
      <c r="N228" s="25">
        <v>0</v>
      </c>
    </row>
    <row r="229" spans="1:14" x14ac:dyDescent="0.25">
      <c r="A229" s="11" t="s">
        <v>72</v>
      </c>
      <c r="B229" s="17">
        <v>0</v>
      </c>
      <c r="C229" s="17">
        <v>5.4</v>
      </c>
      <c r="D229" s="17">
        <v>11.14</v>
      </c>
      <c r="E229" s="17">
        <v>0</v>
      </c>
      <c r="F229" s="17">
        <v>1.49</v>
      </c>
      <c r="G229" s="22">
        <f t="shared" si="3"/>
        <v>18.029999999999998</v>
      </c>
      <c r="H229" s="11" t="s">
        <v>59</v>
      </c>
      <c r="I229" s="24" t="str">
        <f>IFERROR(VLOOKUP($H229,'[1]Actual &amp; PO  Analysis 2020'!$A$4:$BJ$300,62,0),"")</f>
        <v/>
      </c>
      <c r="J229" s="24" t="str">
        <f>IFERROR(VLOOKUP($H229,'[1]Actual &amp; PO  Analysis 2020'!$A$4:$BP$300,68,0),"")</f>
        <v/>
      </c>
      <c r="K229" s="24" t="str">
        <f>IFERROR(VLOOKUP($H229,'[1]Actual &amp; PO  Analysis 2020'!$A$4:$BV$300,74,0),"")</f>
        <v/>
      </c>
      <c r="L229" s="24" t="str">
        <f>IFERROR(VLOOKUP($H229,'[1]Actual &amp; PO  Analysis 2020'!$A$4:$CB$300,80,0),"")</f>
        <v/>
      </c>
      <c r="M229" s="24" t="str">
        <f>IFERROR(VLOOKUP($H229,'[1]Actual &amp; PO  Analysis 2020'!$A$4:$CH$300,86,0),"")</f>
        <v/>
      </c>
      <c r="N229" s="25">
        <v>0</v>
      </c>
    </row>
    <row r="230" spans="1:14" x14ac:dyDescent="0.25">
      <c r="A230" s="11" t="s">
        <v>68</v>
      </c>
      <c r="B230" s="17">
        <v>0</v>
      </c>
      <c r="C230" s="17">
        <v>8.7100000000000009</v>
      </c>
      <c r="D230" s="17">
        <v>11.14</v>
      </c>
      <c r="E230" s="17">
        <v>0</v>
      </c>
      <c r="F230" s="17">
        <v>1.49</v>
      </c>
      <c r="G230" s="22">
        <f t="shared" si="3"/>
        <v>21.34</v>
      </c>
      <c r="H230" s="11" t="s">
        <v>63</v>
      </c>
      <c r="I230" s="24" t="str">
        <f>IFERROR(VLOOKUP($H230,'[1]Actual &amp; PO  Analysis 2020'!$A$4:$BJ$300,62,0),"")</f>
        <v/>
      </c>
      <c r="J230" s="24" t="str">
        <f>IFERROR(VLOOKUP($H230,'[1]Actual &amp; PO  Analysis 2020'!$A$4:$BP$300,68,0),"")</f>
        <v/>
      </c>
      <c r="K230" s="24" t="str">
        <f>IFERROR(VLOOKUP($H230,'[1]Actual &amp; PO  Analysis 2020'!$A$4:$BV$300,74,0),"")</f>
        <v/>
      </c>
      <c r="L230" s="24" t="str">
        <f>IFERROR(VLOOKUP($H230,'[1]Actual &amp; PO  Analysis 2020'!$A$4:$CB$300,80,0),"")</f>
        <v/>
      </c>
      <c r="M230" s="24" t="str">
        <f>IFERROR(VLOOKUP($H230,'[1]Actual &amp; PO  Analysis 2020'!$A$4:$CH$300,86,0),"")</f>
        <v/>
      </c>
      <c r="N230" s="25">
        <v>0</v>
      </c>
    </row>
    <row r="231" spans="1:14" x14ac:dyDescent="0.25">
      <c r="A231" s="11" t="s">
        <v>334</v>
      </c>
      <c r="B231" s="17">
        <v>0</v>
      </c>
      <c r="C231" s="17">
        <v>0</v>
      </c>
      <c r="D231" s="17">
        <v>0</v>
      </c>
      <c r="E231" s="17">
        <v>0</v>
      </c>
      <c r="F231" s="17">
        <v>0</v>
      </c>
      <c r="G231" s="22">
        <f t="shared" si="3"/>
        <v>0</v>
      </c>
      <c r="H231" s="11" t="s">
        <v>67</v>
      </c>
      <c r="I231" s="24" t="str">
        <f>IFERROR(VLOOKUP($H231,'[1]Actual &amp; PO  Analysis 2020'!$A$4:$BJ$300,62,0),"")</f>
        <v/>
      </c>
      <c r="J231" s="24" t="str">
        <f>IFERROR(VLOOKUP($H231,'[1]Actual &amp; PO  Analysis 2020'!$A$4:$BP$300,68,0),"")</f>
        <v/>
      </c>
      <c r="K231" s="24" t="str">
        <f>IFERROR(VLOOKUP($H231,'[1]Actual &amp; PO  Analysis 2020'!$A$4:$BV$300,74,0),"")</f>
        <v/>
      </c>
      <c r="L231" s="24" t="str">
        <f>IFERROR(VLOOKUP($H231,'[1]Actual &amp; PO  Analysis 2020'!$A$4:$CB$300,80,0),"")</f>
        <v/>
      </c>
      <c r="M231" s="24" t="str">
        <f>IFERROR(VLOOKUP($H231,'[1]Actual &amp; PO  Analysis 2020'!$A$4:$CH$300,86,0),"")</f>
        <v/>
      </c>
      <c r="N231" s="25">
        <v>0</v>
      </c>
    </row>
    <row r="232" spans="1:14" x14ac:dyDescent="0.25">
      <c r="A232" s="11" t="s">
        <v>69</v>
      </c>
      <c r="B232" s="17">
        <v>0</v>
      </c>
      <c r="C232" s="17">
        <v>1.8</v>
      </c>
      <c r="D232" s="17">
        <v>10.940000000000001</v>
      </c>
      <c r="E232" s="17">
        <v>0</v>
      </c>
      <c r="F232" s="17">
        <v>1.49</v>
      </c>
      <c r="G232" s="22">
        <f t="shared" si="3"/>
        <v>14.230000000000002</v>
      </c>
      <c r="H232" s="11" t="s">
        <v>273</v>
      </c>
      <c r="I232" s="24" t="str">
        <f>IFERROR(VLOOKUP($H232,'[1]Actual &amp; PO  Analysis 2020'!$A$4:$BJ$300,62,0),"")</f>
        <v/>
      </c>
      <c r="J232" s="24" t="str">
        <f>IFERROR(VLOOKUP($H232,'[1]Actual &amp; PO  Analysis 2020'!$A$4:$BP$300,68,0),"")</f>
        <v/>
      </c>
      <c r="K232" s="24" t="str">
        <f>IFERROR(VLOOKUP($H232,'[1]Actual &amp; PO  Analysis 2020'!$A$4:$BV$300,74,0),"")</f>
        <v/>
      </c>
      <c r="L232" s="24" t="str">
        <f>IFERROR(VLOOKUP($H232,'[1]Actual &amp; PO  Analysis 2020'!$A$4:$CB$300,80,0),"")</f>
        <v/>
      </c>
      <c r="M232" s="24" t="str">
        <f>IFERROR(VLOOKUP($H232,'[1]Actual &amp; PO  Analysis 2020'!$A$4:$CH$300,86,0),"")</f>
        <v/>
      </c>
      <c r="N232" s="25">
        <v>0</v>
      </c>
    </row>
    <row r="233" spans="1:14" x14ac:dyDescent="0.25">
      <c r="A233" s="11" t="s">
        <v>318</v>
      </c>
      <c r="B233" s="17">
        <v>0</v>
      </c>
      <c r="C233" s="17">
        <v>0</v>
      </c>
      <c r="D233" s="17">
        <v>0</v>
      </c>
      <c r="E233" s="17">
        <v>0</v>
      </c>
      <c r="F233" s="17">
        <v>0</v>
      </c>
      <c r="G233" s="22">
        <f t="shared" si="3"/>
        <v>0</v>
      </c>
      <c r="H233" s="11" t="s">
        <v>72</v>
      </c>
      <c r="I233" s="24" t="str">
        <f>IFERROR(VLOOKUP($H233,'[1]Actual &amp; PO  Analysis 2020'!$A$4:$BJ$300,62,0),"")</f>
        <v/>
      </c>
      <c r="J233" s="24" t="str">
        <f>IFERROR(VLOOKUP($H233,'[1]Actual &amp; PO  Analysis 2020'!$A$4:$BP$300,68,0),"")</f>
        <v/>
      </c>
      <c r="K233" s="24" t="str">
        <f>IFERROR(VLOOKUP($H233,'[1]Actual &amp; PO  Analysis 2020'!$A$4:$BV$300,74,0),"")</f>
        <v/>
      </c>
      <c r="L233" s="24" t="str">
        <f>IFERROR(VLOOKUP($H233,'[1]Actual &amp; PO  Analysis 2020'!$A$4:$CB$300,80,0),"")</f>
        <v/>
      </c>
      <c r="M233" s="24" t="str">
        <f>IFERROR(VLOOKUP($H233,'[1]Actual &amp; PO  Analysis 2020'!$A$4:$CH$300,86,0),"")</f>
        <v/>
      </c>
      <c r="N233" s="25">
        <v>0</v>
      </c>
    </row>
    <row r="234" spans="1:14" x14ac:dyDescent="0.25">
      <c r="A234" s="11" t="s">
        <v>73</v>
      </c>
      <c r="B234" s="17">
        <v>0</v>
      </c>
      <c r="C234" s="17">
        <v>2.7</v>
      </c>
      <c r="D234" s="17">
        <v>11.14</v>
      </c>
      <c r="E234" s="17">
        <v>0</v>
      </c>
      <c r="F234" s="17">
        <v>1.49</v>
      </c>
      <c r="G234" s="22">
        <f t="shared" si="3"/>
        <v>15.33</v>
      </c>
      <c r="H234" s="11" t="s">
        <v>68</v>
      </c>
      <c r="I234" s="24" t="str">
        <f>IFERROR(VLOOKUP($H234,'[1]Actual &amp; PO  Analysis 2020'!$A$4:$BJ$300,62,0),"")</f>
        <v/>
      </c>
      <c r="J234" s="24" t="str">
        <f>IFERROR(VLOOKUP($H234,'[1]Actual &amp; PO  Analysis 2020'!$A$4:$BP$300,68,0),"")</f>
        <v/>
      </c>
      <c r="K234" s="24" t="str">
        <f>IFERROR(VLOOKUP($H234,'[1]Actual &amp; PO  Analysis 2020'!$A$4:$BV$300,74,0),"")</f>
        <v/>
      </c>
      <c r="L234" s="24" t="str">
        <f>IFERROR(VLOOKUP($H234,'[1]Actual &amp; PO  Analysis 2020'!$A$4:$CB$300,80,0),"")</f>
        <v/>
      </c>
      <c r="M234" s="24" t="str">
        <f>IFERROR(VLOOKUP($H234,'[1]Actual &amp; PO  Analysis 2020'!$A$4:$CH$300,86,0),"")</f>
        <v/>
      </c>
      <c r="N234" s="25">
        <v>0</v>
      </c>
    </row>
    <row r="235" spans="1:14" x14ac:dyDescent="0.25">
      <c r="A235" s="11" t="s">
        <v>60</v>
      </c>
      <c r="B235" s="17">
        <v>0</v>
      </c>
      <c r="C235" s="17">
        <v>0</v>
      </c>
      <c r="D235" s="17">
        <v>0</v>
      </c>
      <c r="E235" s="17">
        <v>0</v>
      </c>
      <c r="F235" s="17">
        <v>0</v>
      </c>
      <c r="G235" s="22">
        <f t="shared" si="3"/>
        <v>0</v>
      </c>
      <c r="H235" s="11" t="s">
        <v>334</v>
      </c>
      <c r="I235" s="24" t="str">
        <f>IFERROR(VLOOKUP($H235,'[1]Actual &amp; PO  Analysis 2020'!$A$4:$BJ$300,62,0),"")</f>
        <v/>
      </c>
      <c r="J235" s="24" t="str">
        <f>IFERROR(VLOOKUP($H235,'[1]Actual &amp; PO  Analysis 2020'!$A$4:$BP$300,68,0),"")</f>
        <v/>
      </c>
      <c r="K235" s="24" t="str">
        <f>IFERROR(VLOOKUP($H235,'[1]Actual &amp; PO  Analysis 2020'!$A$4:$BV$300,74,0),"")</f>
        <v/>
      </c>
      <c r="L235" s="24" t="str">
        <f>IFERROR(VLOOKUP($H235,'[1]Actual &amp; PO  Analysis 2020'!$A$4:$CB$300,80,0),"")</f>
        <v/>
      </c>
      <c r="M235" s="24" t="str">
        <f>IFERROR(VLOOKUP($H235,'[1]Actual &amp; PO  Analysis 2020'!$A$4:$CH$300,86,0),"")</f>
        <v/>
      </c>
      <c r="N235" s="25">
        <v>0</v>
      </c>
    </row>
    <row r="236" spans="1:14" x14ac:dyDescent="0.25">
      <c r="A236" s="11" t="s">
        <v>64</v>
      </c>
      <c r="B236" s="17">
        <v>0</v>
      </c>
      <c r="C236" s="17">
        <v>2.7</v>
      </c>
      <c r="D236" s="17">
        <v>11.14</v>
      </c>
      <c r="E236" s="17">
        <v>0</v>
      </c>
      <c r="F236" s="17">
        <v>1.49</v>
      </c>
      <c r="G236" s="22">
        <f t="shared" si="3"/>
        <v>15.33</v>
      </c>
      <c r="H236" s="11" t="s">
        <v>69</v>
      </c>
      <c r="I236" s="24" t="str">
        <f>IFERROR(VLOOKUP($H236,'[1]Actual &amp; PO  Analysis 2020'!$A$4:$BJ$300,62,0),"")</f>
        <v/>
      </c>
      <c r="J236" s="24" t="str">
        <f>IFERROR(VLOOKUP($H236,'[1]Actual &amp; PO  Analysis 2020'!$A$4:$BP$300,68,0),"")</f>
        <v/>
      </c>
      <c r="K236" s="24" t="str">
        <f>IFERROR(VLOOKUP($H236,'[1]Actual &amp; PO  Analysis 2020'!$A$4:$BV$300,74,0),"")</f>
        <v/>
      </c>
      <c r="L236" s="24" t="str">
        <f>IFERROR(VLOOKUP($H236,'[1]Actual &amp; PO  Analysis 2020'!$A$4:$CB$300,80,0),"")</f>
        <v/>
      </c>
      <c r="M236" s="24" t="str">
        <f>IFERROR(VLOOKUP($H236,'[1]Actual &amp; PO  Analysis 2020'!$A$4:$CH$300,86,0),"")</f>
        <v/>
      </c>
      <c r="N236" s="25">
        <v>0</v>
      </c>
    </row>
    <row r="237" spans="1:14" x14ac:dyDescent="0.25">
      <c r="A237" s="11" t="s">
        <v>93</v>
      </c>
      <c r="B237" s="17">
        <v>0</v>
      </c>
      <c r="C237" s="17">
        <v>10</v>
      </c>
      <c r="D237" s="17">
        <v>7.61</v>
      </c>
      <c r="E237" s="17">
        <v>3.2</v>
      </c>
      <c r="F237" s="17">
        <v>1.82</v>
      </c>
      <c r="G237" s="22">
        <f t="shared" si="3"/>
        <v>22.63</v>
      </c>
      <c r="H237" s="11" t="s">
        <v>318</v>
      </c>
      <c r="I237" s="24" t="str">
        <f>IFERROR(VLOOKUP($H237,'[1]Actual &amp; PO  Analysis 2020'!$A$4:$BJ$300,62,0),"")</f>
        <v/>
      </c>
      <c r="J237" s="24" t="str">
        <f>IFERROR(VLOOKUP($H237,'[1]Actual &amp; PO  Analysis 2020'!$A$4:$BP$300,68,0),"")</f>
        <v/>
      </c>
      <c r="K237" s="24" t="str">
        <f>IFERROR(VLOOKUP($H237,'[1]Actual &amp; PO  Analysis 2020'!$A$4:$BV$300,74,0),"")</f>
        <v/>
      </c>
      <c r="L237" s="24" t="str">
        <f>IFERROR(VLOOKUP($H237,'[1]Actual &amp; PO  Analysis 2020'!$A$4:$CB$300,80,0),"")</f>
        <v/>
      </c>
      <c r="M237" s="24" t="str">
        <f>IFERROR(VLOOKUP($H237,'[1]Actual &amp; PO  Analysis 2020'!$A$4:$CH$300,86,0),"")</f>
        <v/>
      </c>
      <c r="N237" s="25">
        <v>0</v>
      </c>
    </row>
    <row r="238" spans="1:14" x14ac:dyDescent="0.25">
      <c r="A238" s="11" t="s">
        <v>57</v>
      </c>
      <c r="B238" s="17">
        <v>0</v>
      </c>
      <c r="C238" s="17">
        <v>2.16</v>
      </c>
      <c r="D238" s="17">
        <v>10.780000000000001</v>
      </c>
      <c r="E238" s="17">
        <v>0</v>
      </c>
      <c r="F238" s="17">
        <v>1.49</v>
      </c>
      <c r="G238" s="22">
        <f t="shared" si="3"/>
        <v>14.430000000000001</v>
      </c>
      <c r="H238" s="11" t="s">
        <v>73</v>
      </c>
      <c r="I238" s="24" t="str">
        <f>IFERROR(VLOOKUP($H238,'[1]Actual &amp; PO  Analysis 2020'!$A$4:$BJ$300,62,0),"")</f>
        <v/>
      </c>
      <c r="J238" s="24" t="str">
        <f>IFERROR(VLOOKUP($H238,'[1]Actual &amp; PO  Analysis 2020'!$A$4:$BP$300,68,0),"")</f>
        <v/>
      </c>
      <c r="K238" s="24" t="str">
        <f>IFERROR(VLOOKUP($H238,'[1]Actual &amp; PO  Analysis 2020'!$A$4:$BV$300,74,0),"")</f>
        <v/>
      </c>
      <c r="L238" s="24" t="str">
        <f>IFERROR(VLOOKUP($H238,'[1]Actual &amp; PO  Analysis 2020'!$A$4:$CB$300,80,0),"")</f>
        <v/>
      </c>
      <c r="M238" s="24" t="str">
        <f>IFERROR(VLOOKUP($H238,'[1]Actual &amp; PO  Analysis 2020'!$A$4:$CH$300,86,0),"")</f>
        <v/>
      </c>
      <c r="N238" s="25">
        <v>0</v>
      </c>
    </row>
    <row r="239" spans="1:14" x14ac:dyDescent="0.25">
      <c r="A239" s="11" t="s">
        <v>70</v>
      </c>
      <c r="B239" s="17">
        <v>0</v>
      </c>
      <c r="C239" s="17">
        <v>1.8</v>
      </c>
      <c r="D239" s="17">
        <v>10.940000000000001</v>
      </c>
      <c r="E239" s="17">
        <v>0</v>
      </c>
      <c r="F239" s="17">
        <v>1.49</v>
      </c>
      <c r="G239" s="22">
        <f t="shared" si="3"/>
        <v>14.230000000000002</v>
      </c>
      <c r="H239" s="11" t="s">
        <v>60</v>
      </c>
      <c r="I239" s="24" t="str">
        <f>IFERROR(VLOOKUP($H239,'[1]Actual &amp; PO  Analysis 2020'!$A$4:$BJ$300,62,0),"")</f>
        <v/>
      </c>
      <c r="J239" s="24" t="str">
        <f>IFERROR(VLOOKUP($H239,'[1]Actual &amp; PO  Analysis 2020'!$A$4:$BP$300,68,0),"")</f>
        <v/>
      </c>
      <c r="K239" s="24" t="str">
        <f>IFERROR(VLOOKUP($H239,'[1]Actual &amp; PO  Analysis 2020'!$A$4:$BV$300,74,0),"")</f>
        <v/>
      </c>
      <c r="L239" s="24" t="str">
        <f>IFERROR(VLOOKUP($H239,'[1]Actual &amp; PO  Analysis 2020'!$A$4:$CB$300,80,0),"")</f>
        <v/>
      </c>
      <c r="M239" s="24" t="str">
        <f>IFERROR(VLOOKUP($H239,'[1]Actual &amp; PO  Analysis 2020'!$A$4:$CH$300,86,0),"")</f>
        <v/>
      </c>
      <c r="N239" s="25">
        <v>0</v>
      </c>
    </row>
    <row r="240" spans="1:14" x14ac:dyDescent="0.25">
      <c r="A240" s="11" t="s">
        <v>274</v>
      </c>
      <c r="B240" s="17">
        <v>0</v>
      </c>
      <c r="C240" s="17">
        <v>0</v>
      </c>
      <c r="D240" s="17">
        <v>0</v>
      </c>
      <c r="E240" s="17">
        <v>0</v>
      </c>
      <c r="F240" s="17">
        <v>0</v>
      </c>
      <c r="G240" s="22">
        <f t="shared" si="3"/>
        <v>0</v>
      </c>
      <c r="H240" s="11" t="s">
        <v>64</v>
      </c>
      <c r="I240" s="24" t="str">
        <f>IFERROR(VLOOKUP($H240,'[1]Actual &amp; PO  Analysis 2020'!$A$4:$BJ$300,62,0),"")</f>
        <v/>
      </c>
      <c r="J240" s="24" t="str">
        <f>IFERROR(VLOOKUP($H240,'[1]Actual &amp; PO  Analysis 2020'!$A$4:$BP$300,68,0),"")</f>
        <v/>
      </c>
      <c r="K240" s="24" t="str">
        <f>IFERROR(VLOOKUP($H240,'[1]Actual &amp; PO  Analysis 2020'!$A$4:$BV$300,74,0),"")</f>
        <v/>
      </c>
      <c r="L240" s="24" t="str">
        <f>IFERROR(VLOOKUP($H240,'[1]Actual &amp; PO  Analysis 2020'!$A$4:$CB$300,80,0),"")</f>
        <v/>
      </c>
      <c r="M240" s="24" t="str">
        <f>IFERROR(VLOOKUP($H240,'[1]Actual &amp; PO  Analysis 2020'!$A$4:$CH$300,86,0),"")</f>
        <v/>
      </c>
      <c r="N240" s="25">
        <v>0</v>
      </c>
    </row>
    <row r="241" spans="1:14" x14ac:dyDescent="0.25">
      <c r="A241" s="11" t="s">
        <v>45</v>
      </c>
      <c r="B241" s="17">
        <v>0</v>
      </c>
      <c r="C241" s="17">
        <v>2.7</v>
      </c>
      <c r="D241" s="17">
        <v>11.14</v>
      </c>
      <c r="E241" s="17">
        <v>0</v>
      </c>
      <c r="F241" s="17">
        <v>1.49</v>
      </c>
      <c r="G241" s="22">
        <f t="shared" si="3"/>
        <v>15.33</v>
      </c>
      <c r="H241" s="11" t="s">
        <v>93</v>
      </c>
      <c r="I241" s="24" t="str">
        <f>IFERROR(VLOOKUP($H241,'[1]Actual &amp; PO  Analysis 2020'!$A$4:$BJ$300,62,0),"")</f>
        <v/>
      </c>
      <c r="J241" s="24" t="str">
        <f>IFERROR(VLOOKUP($H241,'[1]Actual &amp; PO  Analysis 2020'!$A$4:$BP$300,68,0),"")</f>
        <v/>
      </c>
      <c r="K241" s="24" t="str">
        <f>IFERROR(VLOOKUP($H241,'[1]Actual &amp; PO  Analysis 2020'!$A$4:$BV$300,74,0),"")</f>
        <v/>
      </c>
      <c r="L241" s="24" t="str">
        <f>IFERROR(VLOOKUP($H241,'[1]Actual &amp; PO  Analysis 2020'!$A$4:$CB$300,80,0),"")</f>
        <v/>
      </c>
      <c r="M241" s="24" t="str">
        <f>IFERROR(VLOOKUP($H241,'[1]Actual &amp; PO  Analysis 2020'!$A$4:$CH$300,86,0),"")</f>
        <v/>
      </c>
      <c r="N241" s="25">
        <v>0</v>
      </c>
    </row>
    <row r="242" spans="1:14" x14ac:dyDescent="0.25">
      <c r="A242" s="11" t="s">
        <v>71</v>
      </c>
      <c r="B242" s="17">
        <v>0</v>
      </c>
      <c r="C242" s="17">
        <v>2.7</v>
      </c>
      <c r="D242" s="17">
        <v>7.61</v>
      </c>
      <c r="E242" s="17">
        <v>3.53</v>
      </c>
      <c r="F242" s="17">
        <v>1.49</v>
      </c>
      <c r="G242" s="22">
        <f t="shared" si="3"/>
        <v>15.33</v>
      </c>
      <c r="H242" s="11" t="s">
        <v>57</v>
      </c>
      <c r="I242" s="24" t="str">
        <f>IFERROR(VLOOKUP($H242,'[1]Actual &amp; PO  Analysis 2020'!$A$4:$BJ$300,62,0),"")</f>
        <v/>
      </c>
      <c r="J242" s="24" t="str">
        <f>IFERROR(VLOOKUP($H242,'[1]Actual &amp; PO  Analysis 2020'!$A$4:$BP$300,68,0),"")</f>
        <v/>
      </c>
      <c r="K242" s="24" t="str">
        <f>IFERROR(VLOOKUP($H242,'[1]Actual &amp; PO  Analysis 2020'!$A$4:$BV$300,74,0),"")</f>
        <v/>
      </c>
      <c r="L242" s="24" t="str">
        <f>IFERROR(VLOOKUP($H242,'[1]Actual &amp; PO  Analysis 2020'!$A$4:$CB$300,80,0),"")</f>
        <v/>
      </c>
      <c r="M242" s="24" t="str">
        <f>IFERROR(VLOOKUP($H242,'[1]Actual &amp; PO  Analysis 2020'!$A$4:$CH$300,86,0),"")</f>
        <v/>
      </c>
      <c r="N242" s="25">
        <v>0</v>
      </c>
    </row>
    <row r="243" spans="1:14" x14ac:dyDescent="0.25">
      <c r="A243" s="11" t="s">
        <v>58</v>
      </c>
      <c r="B243" s="17">
        <v>0</v>
      </c>
      <c r="C243" s="17">
        <v>3.06</v>
      </c>
      <c r="D243" s="17">
        <v>7.43</v>
      </c>
      <c r="E243" s="17">
        <v>3.2</v>
      </c>
      <c r="F243" s="17">
        <v>1.82</v>
      </c>
      <c r="G243" s="22">
        <f t="shared" si="3"/>
        <v>15.510000000000002</v>
      </c>
      <c r="H243" s="11" t="s">
        <v>70</v>
      </c>
      <c r="I243" s="24" t="str">
        <f>IFERROR(VLOOKUP($H243,'[1]Actual &amp; PO  Analysis 2020'!$A$4:$BJ$300,62,0),"")</f>
        <v/>
      </c>
      <c r="J243" s="24" t="str">
        <f>IFERROR(VLOOKUP($H243,'[1]Actual &amp; PO  Analysis 2020'!$A$4:$BP$300,68,0),"")</f>
        <v/>
      </c>
      <c r="K243" s="24" t="str">
        <f>IFERROR(VLOOKUP($H243,'[1]Actual &amp; PO  Analysis 2020'!$A$4:$BV$300,74,0),"")</f>
        <v/>
      </c>
      <c r="L243" s="24" t="str">
        <f>IFERROR(VLOOKUP($H243,'[1]Actual &amp; PO  Analysis 2020'!$A$4:$CB$300,80,0),"")</f>
        <v/>
      </c>
      <c r="M243" s="24" t="str">
        <f>IFERROR(VLOOKUP($H243,'[1]Actual &amp; PO  Analysis 2020'!$A$4:$CH$300,86,0),"")</f>
        <v/>
      </c>
      <c r="N243" s="25">
        <v>0</v>
      </c>
    </row>
    <row r="244" spans="1:14" x14ac:dyDescent="0.25">
      <c r="A244" s="11" t="s">
        <v>79</v>
      </c>
      <c r="B244" s="17">
        <v>0</v>
      </c>
      <c r="C244" s="17">
        <v>10</v>
      </c>
      <c r="D244" s="17">
        <v>7.66</v>
      </c>
      <c r="E244" s="17">
        <v>4.5</v>
      </c>
      <c r="F244" s="17">
        <v>1.5</v>
      </c>
      <c r="G244" s="22">
        <f t="shared" si="3"/>
        <v>23.66</v>
      </c>
      <c r="H244" s="11" t="s">
        <v>274</v>
      </c>
      <c r="I244" s="24" t="str">
        <f>IFERROR(VLOOKUP($H244,'[1]Actual &amp; PO  Analysis 2020'!$A$4:$BJ$300,62,0),"")</f>
        <v/>
      </c>
      <c r="J244" s="24" t="str">
        <f>IFERROR(VLOOKUP($H244,'[1]Actual &amp; PO  Analysis 2020'!$A$4:$BP$300,68,0),"")</f>
        <v/>
      </c>
      <c r="K244" s="24" t="str">
        <f>IFERROR(VLOOKUP($H244,'[1]Actual &amp; PO  Analysis 2020'!$A$4:$BV$300,74,0),"")</f>
        <v/>
      </c>
      <c r="L244" s="24" t="str">
        <f>IFERROR(VLOOKUP($H244,'[1]Actual &amp; PO  Analysis 2020'!$A$4:$CB$300,80,0),"")</f>
        <v/>
      </c>
      <c r="M244" s="24" t="str">
        <f>IFERROR(VLOOKUP($H244,'[1]Actual &amp; PO  Analysis 2020'!$A$4:$CH$300,86,0),"")</f>
        <v/>
      </c>
      <c r="N244" s="25">
        <v>0</v>
      </c>
    </row>
    <row r="245" spans="1:14" x14ac:dyDescent="0.25">
      <c r="A245" s="11" t="s">
        <v>44</v>
      </c>
      <c r="B245" s="17">
        <v>0</v>
      </c>
      <c r="C245" s="17">
        <v>2.7</v>
      </c>
      <c r="D245" s="17">
        <v>7.61</v>
      </c>
      <c r="E245" s="17">
        <v>3.5300000000000002</v>
      </c>
      <c r="F245" s="17">
        <v>1.49</v>
      </c>
      <c r="G245" s="22">
        <f t="shared" si="3"/>
        <v>15.33</v>
      </c>
      <c r="H245" s="11" t="s">
        <v>45</v>
      </c>
      <c r="I245" s="24" t="str">
        <f>IFERROR(VLOOKUP($H245,'[1]Actual &amp; PO  Analysis 2020'!$A$4:$BJ$300,62,0),"")</f>
        <v/>
      </c>
      <c r="J245" s="24" t="str">
        <f>IFERROR(VLOOKUP($H245,'[1]Actual &amp; PO  Analysis 2020'!$A$4:$BP$300,68,0),"")</f>
        <v/>
      </c>
      <c r="K245" s="24" t="str">
        <f>IFERROR(VLOOKUP($H245,'[1]Actual &amp; PO  Analysis 2020'!$A$4:$BV$300,74,0),"")</f>
        <v/>
      </c>
      <c r="L245" s="24" t="str">
        <f>IFERROR(VLOOKUP($H245,'[1]Actual &amp; PO  Analysis 2020'!$A$4:$CB$300,80,0),"")</f>
        <v/>
      </c>
      <c r="M245" s="24" t="str">
        <f>IFERROR(VLOOKUP($H245,'[1]Actual &amp; PO  Analysis 2020'!$A$4:$CH$300,86,0),"")</f>
        <v/>
      </c>
      <c r="N245" s="25">
        <v>0</v>
      </c>
    </row>
    <row r="246" spans="1:14" x14ac:dyDescent="0.25">
      <c r="A246" s="11" t="s">
        <v>251</v>
      </c>
      <c r="B246" s="17">
        <v>0</v>
      </c>
      <c r="C246" s="17">
        <v>6</v>
      </c>
      <c r="D246" s="17">
        <v>5.4399999999999995</v>
      </c>
      <c r="E246" s="17">
        <v>0.1</v>
      </c>
      <c r="F246" s="17">
        <v>0.85</v>
      </c>
      <c r="G246" s="22">
        <f t="shared" si="3"/>
        <v>12.389999999999999</v>
      </c>
      <c r="H246" s="11" t="s">
        <v>71</v>
      </c>
      <c r="I246" s="24" t="str">
        <f>IFERROR(VLOOKUP($H246,'[1]Actual &amp; PO  Analysis 2020'!$A$4:$BJ$300,62,0),"")</f>
        <v/>
      </c>
      <c r="J246" s="24" t="str">
        <f>IFERROR(VLOOKUP($H246,'[1]Actual &amp; PO  Analysis 2020'!$A$4:$BP$300,68,0),"")</f>
        <v/>
      </c>
      <c r="K246" s="24" t="str">
        <f>IFERROR(VLOOKUP($H246,'[1]Actual &amp; PO  Analysis 2020'!$A$4:$BV$300,74,0),"")</f>
        <v/>
      </c>
      <c r="L246" s="24" t="str">
        <f>IFERROR(VLOOKUP($H246,'[1]Actual &amp; PO  Analysis 2020'!$A$4:$CB$300,80,0),"")</f>
        <v/>
      </c>
      <c r="M246" s="24" t="str">
        <f>IFERROR(VLOOKUP($H246,'[1]Actual &amp; PO  Analysis 2020'!$A$4:$CH$300,86,0),"")</f>
        <v/>
      </c>
      <c r="N246" s="25">
        <v>0</v>
      </c>
    </row>
    <row r="247" spans="1:14" x14ac:dyDescent="0.25">
      <c r="A247" s="11" t="s">
        <v>380</v>
      </c>
      <c r="B247" s="17">
        <v>0</v>
      </c>
      <c r="C247" s="17">
        <v>3.69</v>
      </c>
      <c r="D247" s="17">
        <v>2.98</v>
      </c>
      <c r="E247" s="17">
        <v>0.1</v>
      </c>
      <c r="F247" s="17">
        <v>0.78</v>
      </c>
      <c r="G247" s="22">
        <f t="shared" si="3"/>
        <v>7.55</v>
      </c>
      <c r="H247" s="11" t="s">
        <v>58</v>
      </c>
      <c r="I247" s="24" t="str">
        <f>IFERROR(VLOOKUP($H247,'[1]Actual &amp; PO  Analysis 2020'!$A$4:$BJ$300,62,0),"")</f>
        <v/>
      </c>
      <c r="J247" s="24" t="str">
        <f>IFERROR(VLOOKUP($H247,'[1]Actual &amp; PO  Analysis 2020'!$A$4:$BP$300,68,0),"")</f>
        <v/>
      </c>
      <c r="K247" s="24" t="str">
        <f>IFERROR(VLOOKUP($H247,'[1]Actual &amp; PO  Analysis 2020'!$A$4:$BV$300,74,0),"")</f>
        <v/>
      </c>
      <c r="L247" s="24" t="str">
        <f>IFERROR(VLOOKUP($H247,'[1]Actual &amp; PO  Analysis 2020'!$A$4:$CB$300,80,0),"")</f>
        <v/>
      </c>
      <c r="M247" s="24" t="str">
        <f>IFERROR(VLOOKUP($H247,'[1]Actual &amp; PO  Analysis 2020'!$A$4:$CH$300,86,0),"")</f>
        <v/>
      </c>
      <c r="N247" s="25">
        <v>0</v>
      </c>
    </row>
    <row r="248" spans="1:14" x14ac:dyDescent="0.25">
      <c r="A248" s="11" t="s">
        <v>379</v>
      </c>
      <c r="B248" s="17">
        <v>0</v>
      </c>
      <c r="C248" s="17">
        <v>3.84</v>
      </c>
      <c r="D248" s="17">
        <v>2.98</v>
      </c>
      <c r="E248" s="17">
        <v>0.1</v>
      </c>
      <c r="F248" s="17">
        <v>0.78</v>
      </c>
      <c r="G248" s="22">
        <f t="shared" si="3"/>
        <v>7.7</v>
      </c>
      <c r="H248" s="11" t="s">
        <v>79</v>
      </c>
      <c r="I248" s="24" t="str">
        <f>IFERROR(VLOOKUP($H248,'[1]Actual &amp; PO  Analysis 2020'!$A$4:$BJ$300,62,0),"")</f>
        <v/>
      </c>
      <c r="J248" s="24" t="str">
        <f>IFERROR(VLOOKUP($H248,'[1]Actual &amp; PO  Analysis 2020'!$A$4:$BP$300,68,0),"")</f>
        <v/>
      </c>
      <c r="K248" s="24" t="str">
        <f>IFERROR(VLOOKUP($H248,'[1]Actual &amp; PO  Analysis 2020'!$A$4:$BV$300,74,0),"")</f>
        <v/>
      </c>
      <c r="L248" s="24" t="str">
        <f>IFERROR(VLOOKUP($H248,'[1]Actual &amp; PO  Analysis 2020'!$A$4:$CB$300,80,0),"")</f>
        <v/>
      </c>
      <c r="M248" s="24" t="str">
        <f>IFERROR(VLOOKUP($H248,'[1]Actual &amp; PO  Analysis 2020'!$A$4:$CH$300,86,0),"")</f>
        <v/>
      </c>
      <c r="N248" s="25">
        <v>0</v>
      </c>
    </row>
    <row r="249" spans="1:14" x14ac:dyDescent="0.25">
      <c r="A249" s="11" t="s">
        <v>95</v>
      </c>
      <c r="B249" s="17">
        <v>0</v>
      </c>
      <c r="C249" s="17">
        <v>1.3460000000000001</v>
      </c>
      <c r="D249" s="17">
        <v>3.3650000000000002</v>
      </c>
      <c r="E249" s="17">
        <v>0.125</v>
      </c>
      <c r="F249" s="17">
        <v>1.0720000000000001</v>
      </c>
      <c r="G249" s="22">
        <f t="shared" si="3"/>
        <v>5.9080000000000004</v>
      </c>
      <c r="H249" s="11" t="s">
        <v>44</v>
      </c>
      <c r="I249" s="24" t="str">
        <f>IFERROR(VLOOKUP($H249,'[1]Actual &amp; PO  Analysis 2020'!$A$4:$BJ$300,62,0),"")</f>
        <v/>
      </c>
      <c r="J249" s="24" t="str">
        <f>IFERROR(VLOOKUP($H249,'[1]Actual &amp; PO  Analysis 2020'!$A$4:$BP$300,68,0),"")</f>
        <v/>
      </c>
      <c r="K249" s="24" t="str">
        <f>IFERROR(VLOOKUP($H249,'[1]Actual &amp; PO  Analysis 2020'!$A$4:$BV$300,74,0),"")</f>
        <v/>
      </c>
      <c r="L249" s="24" t="str">
        <f>IFERROR(VLOOKUP($H249,'[1]Actual &amp; PO  Analysis 2020'!$A$4:$CB$300,80,0),"")</f>
        <v/>
      </c>
      <c r="M249" s="24" t="str">
        <f>IFERROR(VLOOKUP($H249,'[1]Actual &amp; PO  Analysis 2020'!$A$4:$CH$300,86,0),"")</f>
        <v/>
      </c>
      <c r="N249" s="25">
        <v>0</v>
      </c>
    </row>
    <row r="250" spans="1:14" x14ac:dyDescent="0.25">
      <c r="A250" s="11" t="s">
        <v>375</v>
      </c>
      <c r="B250" s="17">
        <v>0</v>
      </c>
      <c r="C250" s="17">
        <v>5.05</v>
      </c>
      <c r="D250" s="17">
        <v>3.137</v>
      </c>
      <c r="E250" s="17">
        <v>5.6000000000000001E-2</v>
      </c>
      <c r="F250" s="17">
        <v>0.75700000000000001</v>
      </c>
      <c r="G250" s="22">
        <f t="shared" si="3"/>
        <v>8.9999999999999982</v>
      </c>
      <c r="H250" s="11" t="s">
        <v>251</v>
      </c>
      <c r="I250" s="24" t="str">
        <f>IFERROR(VLOOKUP($H250,'[1]Actual &amp; PO  Analysis 2020'!$A$4:$BJ$300,62,0),"")</f>
        <v>0</v>
      </c>
      <c r="J250" s="24">
        <f>IFERROR(VLOOKUP($H250,'[1]Actual &amp; PO  Analysis 2020'!$A$4:$BP$300,68,0),"")</f>
        <v>7.4026666666666658</v>
      </c>
      <c r="K250" s="24">
        <f>IFERROR(VLOOKUP($H250,'[1]Actual &amp; PO  Analysis 2020'!$A$4:$BV$300,74,0),"")</f>
        <v>5.4229999999999992</v>
      </c>
      <c r="L250" s="24">
        <f>IFERROR(VLOOKUP($H250,'[1]Actual &amp; PO  Analysis 2020'!$A$4:$CB$300,80,0),"")</f>
        <v>0.19566666666666666</v>
      </c>
      <c r="M250" s="24">
        <f>IFERROR(VLOOKUP($H250,'[1]Actual &amp; PO  Analysis 2020'!$A$4:$CH$300,86,0),"")</f>
        <v>1.4523333333333335</v>
      </c>
      <c r="N250" s="25">
        <v>13.477500000000001</v>
      </c>
    </row>
    <row r="251" spans="1:14" x14ac:dyDescent="0.25">
      <c r="A251" s="11" t="s">
        <v>363</v>
      </c>
      <c r="B251" s="17">
        <v>0</v>
      </c>
      <c r="C251" s="17">
        <v>7.04</v>
      </c>
      <c r="D251" s="17">
        <v>5.01</v>
      </c>
      <c r="E251" s="17">
        <v>0.1</v>
      </c>
      <c r="F251" s="17">
        <v>1.35</v>
      </c>
      <c r="G251" s="22">
        <f t="shared" si="3"/>
        <v>13.5</v>
      </c>
      <c r="H251" s="11" t="s">
        <v>380</v>
      </c>
      <c r="I251" s="24" t="str">
        <f>IFERROR(VLOOKUP($H251,'[1]Actual &amp; PO  Analysis 2020'!$A$4:$BJ$300,62,0),"")</f>
        <v/>
      </c>
      <c r="J251" s="24" t="str">
        <f>IFERROR(VLOOKUP($H251,'[1]Actual &amp; PO  Analysis 2020'!$A$4:$BP$300,68,0),"")</f>
        <v/>
      </c>
      <c r="K251" s="24" t="str">
        <f>IFERROR(VLOOKUP($H251,'[1]Actual &amp; PO  Analysis 2020'!$A$4:$BV$300,74,0),"")</f>
        <v/>
      </c>
      <c r="L251" s="24" t="str">
        <f>IFERROR(VLOOKUP($H251,'[1]Actual &amp; PO  Analysis 2020'!$A$4:$CB$300,80,0),"")</f>
        <v/>
      </c>
      <c r="M251" s="24" t="str">
        <f>IFERROR(VLOOKUP($H251,'[1]Actual &amp; PO  Analysis 2020'!$A$4:$CH$300,86,0),"")</f>
        <v/>
      </c>
      <c r="N251" s="25">
        <v>0</v>
      </c>
    </row>
    <row r="252" spans="1:14" x14ac:dyDescent="0.25">
      <c r="A252" s="11" t="s">
        <v>384</v>
      </c>
      <c r="B252" s="17">
        <v>0</v>
      </c>
      <c r="C252" s="17">
        <v>2.7589999999999999</v>
      </c>
      <c r="D252" s="17">
        <v>3.133</v>
      </c>
      <c r="E252" s="17">
        <v>0.1</v>
      </c>
      <c r="F252" s="17">
        <v>1.7349999999999999</v>
      </c>
      <c r="G252" s="22">
        <f t="shared" si="3"/>
        <v>7.7269999999999985</v>
      </c>
      <c r="H252" s="11" t="s">
        <v>379</v>
      </c>
      <c r="I252" s="24" t="str">
        <f>IFERROR(VLOOKUP($H252,'[1]Actual &amp; PO  Analysis 2020'!$A$4:$BJ$300,62,0),"")</f>
        <v/>
      </c>
      <c r="J252" s="24" t="str">
        <f>IFERROR(VLOOKUP($H252,'[1]Actual &amp; PO  Analysis 2020'!$A$4:$BP$300,68,0),"")</f>
        <v/>
      </c>
      <c r="K252" s="24" t="str">
        <f>IFERROR(VLOOKUP($H252,'[1]Actual &amp; PO  Analysis 2020'!$A$4:$BV$300,74,0),"")</f>
        <v/>
      </c>
      <c r="L252" s="24" t="str">
        <f>IFERROR(VLOOKUP($H252,'[1]Actual &amp; PO  Analysis 2020'!$A$4:$CB$300,80,0),"")</f>
        <v/>
      </c>
      <c r="M252" s="24" t="str">
        <f>IFERROR(VLOOKUP($H252,'[1]Actual &amp; PO  Analysis 2020'!$A$4:$CH$300,86,0),"")</f>
        <v/>
      </c>
      <c r="N252" s="25">
        <v>0</v>
      </c>
    </row>
    <row r="253" spans="1:14" x14ac:dyDescent="0.25">
      <c r="A253" s="11" t="s">
        <v>14</v>
      </c>
      <c r="B253" s="17">
        <v>0</v>
      </c>
      <c r="C253" s="17">
        <v>0.96</v>
      </c>
      <c r="D253" s="17">
        <v>2.04</v>
      </c>
      <c r="E253" s="17">
        <v>0.1</v>
      </c>
      <c r="F253" s="17">
        <v>0.877</v>
      </c>
      <c r="G253" s="22">
        <f t="shared" si="3"/>
        <v>3.9770000000000003</v>
      </c>
      <c r="H253" s="11" t="s">
        <v>95</v>
      </c>
      <c r="I253" s="24" t="str">
        <f>IFERROR(VLOOKUP($H253,'[1]Actual &amp; PO  Analysis 2020'!$A$4:$BJ$300,62,0),"")</f>
        <v>0</v>
      </c>
      <c r="J253" s="24">
        <f>IFERROR(VLOOKUP($H253,'[1]Actual &amp; PO  Analysis 2020'!$A$4:$BP$300,68,0),"")</f>
        <v>1.875</v>
      </c>
      <c r="K253" s="24">
        <f>IFERROR(VLOOKUP($H253,'[1]Actual &amp; PO  Analysis 2020'!$A$4:$BV$300,74,0),"")</f>
        <v>3.746</v>
      </c>
      <c r="L253" s="24">
        <f>IFERROR(VLOOKUP($H253,'[1]Actual &amp; PO  Analysis 2020'!$A$4:$CB$300,80,0),"")</f>
        <v>0.19650000000000001</v>
      </c>
      <c r="M253" s="24">
        <f>IFERROR(VLOOKUP($H253,'[1]Actual &amp; PO  Analysis 2020'!$A$4:$CH$300,86,0),"")</f>
        <v>1.1004999999999998</v>
      </c>
      <c r="N253" s="25">
        <v>7.1639999999999997</v>
      </c>
    </row>
    <row r="254" spans="1:14" x14ac:dyDescent="0.25">
      <c r="A254" s="11" t="s">
        <v>172</v>
      </c>
      <c r="B254" s="17">
        <v>0</v>
      </c>
      <c r="C254" s="17">
        <v>1.71</v>
      </c>
      <c r="D254" s="17">
        <v>3.02</v>
      </c>
      <c r="E254" s="17">
        <v>0.1</v>
      </c>
      <c r="F254" s="17">
        <v>0.55000000000000004</v>
      </c>
      <c r="G254" s="22">
        <f t="shared" si="3"/>
        <v>5.38</v>
      </c>
      <c r="H254" s="11" t="s">
        <v>375</v>
      </c>
      <c r="I254" s="24" t="str">
        <f>IFERROR(VLOOKUP($H254,'[1]Actual &amp; PO  Analysis 2020'!$A$4:$BJ$300,62,0),"")</f>
        <v/>
      </c>
      <c r="J254" s="24" t="str">
        <f>IFERROR(VLOOKUP($H254,'[1]Actual &amp; PO  Analysis 2020'!$A$4:$BP$300,68,0),"")</f>
        <v/>
      </c>
      <c r="K254" s="24" t="str">
        <f>IFERROR(VLOOKUP($H254,'[1]Actual &amp; PO  Analysis 2020'!$A$4:$BV$300,74,0),"")</f>
        <v/>
      </c>
      <c r="L254" s="24" t="str">
        <f>IFERROR(VLOOKUP($H254,'[1]Actual &amp; PO  Analysis 2020'!$A$4:$CB$300,80,0),"")</f>
        <v/>
      </c>
      <c r="M254" s="24" t="str">
        <f>IFERROR(VLOOKUP($H254,'[1]Actual &amp; PO  Analysis 2020'!$A$4:$CH$300,86,0),"")</f>
        <v/>
      </c>
      <c r="N254" s="25">
        <v>0</v>
      </c>
    </row>
    <row r="255" spans="1:14" x14ac:dyDescent="0.25">
      <c r="A255" s="11" t="s">
        <v>453</v>
      </c>
      <c r="B255" s="17">
        <v>0</v>
      </c>
      <c r="C255" s="17">
        <v>1.08</v>
      </c>
      <c r="D255" s="17">
        <v>1.1000000000000001</v>
      </c>
      <c r="E255" s="17">
        <v>0</v>
      </c>
      <c r="F255" s="17">
        <v>0.57999999999999996</v>
      </c>
      <c r="G255" s="22">
        <f t="shared" si="3"/>
        <v>2.7600000000000002</v>
      </c>
      <c r="H255" s="11" t="s">
        <v>363</v>
      </c>
      <c r="I255" s="24" t="str">
        <f>IFERROR(VLOOKUP($H255,'[1]Actual &amp; PO  Analysis 2020'!$A$4:$BJ$300,62,0),"")</f>
        <v/>
      </c>
      <c r="J255" s="24" t="str">
        <f>IFERROR(VLOOKUP($H255,'[1]Actual &amp; PO  Analysis 2020'!$A$4:$BP$300,68,0),"")</f>
        <v/>
      </c>
      <c r="K255" s="24" t="str">
        <f>IFERROR(VLOOKUP($H255,'[1]Actual &amp; PO  Analysis 2020'!$A$4:$BV$300,74,0),"")</f>
        <v/>
      </c>
      <c r="L255" s="24" t="str">
        <f>IFERROR(VLOOKUP($H255,'[1]Actual &amp; PO  Analysis 2020'!$A$4:$CB$300,80,0),"")</f>
        <v/>
      </c>
      <c r="M255" s="24" t="str">
        <f>IFERROR(VLOOKUP($H255,'[1]Actual &amp; PO  Analysis 2020'!$A$4:$CH$300,86,0),"")</f>
        <v/>
      </c>
      <c r="N255" s="25">
        <v>0</v>
      </c>
    </row>
    <row r="256" spans="1:14" x14ac:dyDescent="0.25">
      <c r="A256" s="11" t="s">
        <v>454</v>
      </c>
      <c r="B256" s="17">
        <v>0</v>
      </c>
      <c r="C256" s="17">
        <v>1.04</v>
      </c>
      <c r="D256" s="17">
        <v>1.1000000000000001</v>
      </c>
      <c r="E256" s="17">
        <v>0</v>
      </c>
      <c r="F256" s="17">
        <v>0.57999999999999996</v>
      </c>
      <c r="G256" s="22">
        <f t="shared" si="3"/>
        <v>2.72</v>
      </c>
      <c r="H256" s="11" t="s">
        <v>384</v>
      </c>
      <c r="I256" s="24" t="str">
        <f>IFERROR(VLOOKUP($H256,'[1]Actual &amp; PO  Analysis 2020'!$A$4:$BJ$300,62,0),"")</f>
        <v>0</v>
      </c>
      <c r="J256" s="24">
        <f>IFERROR(VLOOKUP($H256,'[1]Actual &amp; PO  Analysis 2020'!$A$4:$BP$300,68,0),"")</f>
        <v>3.7770000000000001</v>
      </c>
      <c r="K256" s="24">
        <f>IFERROR(VLOOKUP($H256,'[1]Actual &amp; PO  Analysis 2020'!$A$4:$BV$300,74,0),"")</f>
        <v>4.0214999999999996</v>
      </c>
      <c r="L256" s="24">
        <f>IFERROR(VLOOKUP($H256,'[1]Actual &amp; PO  Analysis 2020'!$A$4:$CB$300,80,0),"")</f>
        <v>0.17899999999999999</v>
      </c>
      <c r="M256" s="24">
        <f>IFERROR(VLOOKUP($H256,'[1]Actual &amp; PO  Analysis 2020'!$A$4:$CH$300,86,0),"")</f>
        <v>1.9465000000000003</v>
      </c>
      <c r="N256" s="25">
        <v>9.9239999999999995</v>
      </c>
    </row>
    <row r="257" spans="1:14" x14ac:dyDescent="0.25">
      <c r="A257" s="11" t="s">
        <v>261</v>
      </c>
      <c r="B257" s="17">
        <v>0</v>
      </c>
      <c r="C257" s="17">
        <v>4.1500000000000004</v>
      </c>
      <c r="D257" s="17">
        <v>4.9700000000000006</v>
      </c>
      <c r="E257" s="17">
        <v>0.1</v>
      </c>
      <c r="F257" s="17">
        <v>0.99</v>
      </c>
      <c r="G257" s="22">
        <f t="shared" si="3"/>
        <v>10.210000000000001</v>
      </c>
      <c r="H257" s="11" t="s">
        <v>14</v>
      </c>
      <c r="I257" s="24" t="str">
        <f>IFERROR(VLOOKUP($H257,'[1]Actual &amp; PO  Analysis 2020'!$A$4:$BJ$300,62,0),"")</f>
        <v/>
      </c>
      <c r="J257" s="24" t="str">
        <f>IFERROR(VLOOKUP($H257,'[1]Actual &amp; PO  Analysis 2020'!$A$4:$BP$300,68,0),"")</f>
        <v/>
      </c>
      <c r="K257" s="24" t="str">
        <f>IFERROR(VLOOKUP($H257,'[1]Actual &amp; PO  Analysis 2020'!$A$4:$BV$300,74,0),"")</f>
        <v/>
      </c>
      <c r="L257" s="24" t="str">
        <f>IFERROR(VLOOKUP($H257,'[1]Actual &amp; PO  Analysis 2020'!$A$4:$CB$300,80,0),"")</f>
        <v/>
      </c>
      <c r="M257" s="24" t="str">
        <f>IFERROR(VLOOKUP($H257,'[1]Actual &amp; PO  Analysis 2020'!$A$4:$CH$300,86,0),"")</f>
        <v/>
      </c>
      <c r="N257" s="25">
        <v>0</v>
      </c>
    </row>
    <row r="258" spans="1:14" x14ac:dyDescent="0.25">
      <c r="A258" s="11" t="s">
        <v>371</v>
      </c>
      <c r="B258" s="17">
        <v>0</v>
      </c>
      <c r="C258" s="17">
        <v>4.8289999999999997</v>
      </c>
      <c r="D258" s="17">
        <v>5.7839999999999998</v>
      </c>
      <c r="E258" s="17">
        <v>0.11600000000000001</v>
      </c>
      <c r="F258" s="17">
        <v>1.1519999999999999</v>
      </c>
      <c r="G258" s="22">
        <f t="shared" ref="G258:G321" si="4">SUM(B258:F258)</f>
        <v>11.880999999999998</v>
      </c>
      <c r="H258" s="11" t="s">
        <v>172</v>
      </c>
      <c r="I258" s="24" t="str">
        <f>IFERROR(VLOOKUP($H258,'[1]Actual &amp; PO  Analysis 2020'!$A$4:$BJ$300,62,0),"")</f>
        <v/>
      </c>
      <c r="J258" s="24" t="str">
        <f>IFERROR(VLOOKUP($H258,'[1]Actual &amp; PO  Analysis 2020'!$A$4:$BP$300,68,0),"")</f>
        <v/>
      </c>
      <c r="K258" s="24" t="str">
        <f>IFERROR(VLOOKUP($H258,'[1]Actual &amp; PO  Analysis 2020'!$A$4:$BV$300,74,0),"")</f>
        <v/>
      </c>
      <c r="L258" s="24" t="str">
        <f>IFERROR(VLOOKUP($H258,'[1]Actual &amp; PO  Analysis 2020'!$A$4:$CB$300,80,0),"")</f>
        <v/>
      </c>
      <c r="M258" s="24" t="str">
        <f>IFERROR(VLOOKUP($H258,'[1]Actual &amp; PO  Analysis 2020'!$A$4:$CH$300,86,0),"")</f>
        <v/>
      </c>
      <c r="N258" s="25">
        <v>0</v>
      </c>
    </row>
    <row r="259" spans="1:14" x14ac:dyDescent="0.25">
      <c r="A259" s="11" t="s">
        <v>314</v>
      </c>
      <c r="B259" s="17">
        <v>0</v>
      </c>
      <c r="C259" s="17">
        <v>4.1500000000000004</v>
      </c>
      <c r="D259" s="17">
        <v>4.9700000000000006</v>
      </c>
      <c r="E259" s="17">
        <v>0.1</v>
      </c>
      <c r="F259" s="17">
        <v>0.99</v>
      </c>
      <c r="G259" s="22">
        <f t="shared" si="4"/>
        <v>10.210000000000001</v>
      </c>
      <c r="H259" s="11" t="s">
        <v>453</v>
      </c>
      <c r="I259" s="24" t="str">
        <f>IFERROR(VLOOKUP($H259,'[1]Actual &amp; PO  Analysis 2020'!$A$4:$BJ$300,62,0),"")</f>
        <v>0</v>
      </c>
      <c r="J259" s="24">
        <f>IFERROR(VLOOKUP($H259,'[1]Actual &amp; PO  Analysis 2020'!$A$4:$BP$300,68,0),"")</f>
        <v>1.9329999999999998</v>
      </c>
      <c r="K259" s="24">
        <f>IFERROR(VLOOKUP($H259,'[1]Actual &amp; PO  Analysis 2020'!$A$4:$BV$300,74,0),"")</f>
        <v>3.5102500000000001</v>
      </c>
      <c r="L259" s="24">
        <f>IFERROR(VLOOKUP($H259,'[1]Actual &amp; PO  Analysis 2020'!$A$4:$CB$300,80,0),"")</f>
        <v>0.16925000000000001</v>
      </c>
      <c r="M259" s="24">
        <f>IFERROR(VLOOKUP($H259,'[1]Actual &amp; PO  Analysis 2020'!$A$4:$CH$300,86,0),"")</f>
        <v>1.972</v>
      </c>
      <c r="N259" s="25">
        <v>7.7205000000000013</v>
      </c>
    </row>
    <row r="260" spans="1:14" x14ac:dyDescent="0.25">
      <c r="A260" s="11" t="s">
        <v>282</v>
      </c>
      <c r="B260" s="17">
        <v>0</v>
      </c>
      <c r="C260" s="17">
        <v>4.3499999999999996</v>
      </c>
      <c r="D260" s="17">
        <v>5.2089999999999996</v>
      </c>
      <c r="E260" s="17">
        <v>0.105</v>
      </c>
      <c r="F260" s="17">
        <v>2.5380000000000003</v>
      </c>
      <c r="G260" s="22">
        <f t="shared" si="4"/>
        <v>12.202</v>
      </c>
      <c r="H260" s="11" t="s">
        <v>454</v>
      </c>
      <c r="I260" s="24" t="str">
        <f>IFERROR(VLOOKUP($H260,'[1]Actual &amp; PO  Analysis 2020'!$A$4:$BJ$300,62,0),"")</f>
        <v>0</v>
      </c>
      <c r="J260" s="24">
        <f>IFERROR(VLOOKUP($H260,'[1]Actual &amp; PO  Analysis 2020'!$A$4:$BP$300,68,0),"")</f>
        <v>2.1240000000000001</v>
      </c>
      <c r="K260" s="24">
        <f>IFERROR(VLOOKUP($H260,'[1]Actual &amp; PO  Analysis 2020'!$A$4:$BV$300,74,0),"")</f>
        <v>6.234</v>
      </c>
      <c r="L260" s="24">
        <f>IFERROR(VLOOKUP($H260,'[1]Actual &amp; PO  Analysis 2020'!$A$4:$CB$300,80,0),"")</f>
        <v>0.27100000000000002</v>
      </c>
      <c r="M260" s="24">
        <f>IFERROR(VLOOKUP($H260,'[1]Actual &amp; PO  Analysis 2020'!$A$4:$CH$300,86,0),"")</f>
        <v>1.9900000000000002</v>
      </c>
      <c r="N260" s="25">
        <v>4.7380000000000004</v>
      </c>
    </row>
    <row r="261" spans="1:14" x14ac:dyDescent="0.25">
      <c r="A261" s="11" t="s">
        <v>374</v>
      </c>
      <c r="B261" s="17">
        <v>0</v>
      </c>
      <c r="C261" s="17">
        <v>6.6219999999999999</v>
      </c>
      <c r="D261" s="17">
        <v>7.931</v>
      </c>
      <c r="E261" s="17">
        <v>0.16</v>
      </c>
      <c r="F261" s="17">
        <v>1.58</v>
      </c>
      <c r="G261" s="22">
        <f t="shared" si="4"/>
        <v>16.292999999999999</v>
      </c>
      <c r="H261" s="11" t="s">
        <v>261</v>
      </c>
      <c r="I261" s="24" t="str">
        <f>IFERROR(VLOOKUP($H261,'[1]Actual &amp; PO  Analysis 2020'!$A$4:$BJ$300,62,0),"")</f>
        <v/>
      </c>
      <c r="J261" s="24" t="str">
        <f>IFERROR(VLOOKUP($H261,'[1]Actual &amp; PO  Analysis 2020'!$A$4:$BP$300,68,0),"")</f>
        <v/>
      </c>
      <c r="K261" s="24" t="str">
        <f>IFERROR(VLOOKUP($H261,'[1]Actual &amp; PO  Analysis 2020'!$A$4:$BV$300,74,0),"")</f>
        <v/>
      </c>
      <c r="L261" s="24" t="str">
        <f>IFERROR(VLOOKUP($H261,'[1]Actual &amp; PO  Analysis 2020'!$A$4:$CB$300,80,0),"")</f>
        <v/>
      </c>
      <c r="M261" s="24" t="str">
        <f>IFERROR(VLOOKUP($H261,'[1]Actual &amp; PO  Analysis 2020'!$A$4:$CH$300,86,0),"")</f>
        <v/>
      </c>
      <c r="N261" s="25">
        <v>0</v>
      </c>
    </row>
    <row r="262" spans="1:14" x14ac:dyDescent="0.25">
      <c r="A262" s="11" t="s">
        <v>315</v>
      </c>
      <c r="B262" s="17">
        <v>0</v>
      </c>
      <c r="C262" s="17">
        <v>4.1500000000000004</v>
      </c>
      <c r="D262" s="17">
        <v>4.9700000000000006</v>
      </c>
      <c r="E262" s="17">
        <v>0.1</v>
      </c>
      <c r="F262" s="17">
        <v>2.4900000000000002</v>
      </c>
      <c r="G262" s="22">
        <f t="shared" si="4"/>
        <v>11.71</v>
      </c>
      <c r="H262" s="11" t="s">
        <v>371</v>
      </c>
      <c r="I262" s="24" t="str">
        <f>IFERROR(VLOOKUP($H262,'[1]Actual &amp; PO  Analysis 2020'!$A$4:$BJ$300,62,0),"")</f>
        <v/>
      </c>
      <c r="J262" s="24" t="str">
        <f>IFERROR(VLOOKUP($H262,'[1]Actual &amp; PO  Analysis 2020'!$A$4:$BP$300,68,0),"")</f>
        <v/>
      </c>
      <c r="K262" s="24" t="str">
        <f>IFERROR(VLOOKUP($H262,'[1]Actual &amp; PO  Analysis 2020'!$A$4:$BV$300,74,0),"")</f>
        <v/>
      </c>
      <c r="L262" s="24" t="str">
        <f>IFERROR(VLOOKUP($H262,'[1]Actual &amp; PO  Analysis 2020'!$A$4:$CB$300,80,0),"")</f>
        <v/>
      </c>
      <c r="M262" s="24" t="str">
        <f>IFERROR(VLOOKUP($H262,'[1]Actual &amp; PO  Analysis 2020'!$A$4:$CH$300,86,0),"")</f>
        <v/>
      </c>
      <c r="N262" s="25">
        <v>0</v>
      </c>
    </row>
    <row r="263" spans="1:14" x14ac:dyDescent="0.25">
      <c r="A263" s="11" t="s">
        <v>280</v>
      </c>
      <c r="B263" s="17">
        <v>0</v>
      </c>
      <c r="C263" s="17">
        <v>4.1500000000000004</v>
      </c>
      <c r="D263" s="17">
        <v>4.68</v>
      </c>
      <c r="E263" s="17">
        <v>0.1</v>
      </c>
      <c r="F263" s="17">
        <v>0.99</v>
      </c>
      <c r="G263" s="22">
        <f t="shared" si="4"/>
        <v>9.92</v>
      </c>
      <c r="H263" s="11" t="s">
        <v>314</v>
      </c>
      <c r="I263" s="24" t="str">
        <f>IFERROR(VLOOKUP($H263,'[1]Actual &amp; PO  Analysis 2020'!$A$4:$BJ$300,62,0),"")</f>
        <v/>
      </c>
      <c r="J263" s="24" t="str">
        <f>IFERROR(VLOOKUP($H263,'[1]Actual &amp; PO  Analysis 2020'!$A$4:$BP$300,68,0),"")</f>
        <v/>
      </c>
      <c r="K263" s="24" t="str">
        <f>IFERROR(VLOOKUP($H263,'[1]Actual &amp; PO  Analysis 2020'!$A$4:$BV$300,74,0),"")</f>
        <v/>
      </c>
      <c r="L263" s="24" t="str">
        <f>IFERROR(VLOOKUP($H263,'[1]Actual &amp; PO  Analysis 2020'!$A$4:$CB$300,80,0),"")</f>
        <v/>
      </c>
      <c r="M263" s="24" t="str">
        <f>IFERROR(VLOOKUP($H263,'[1]Actual &amp; PO  Analysis 2020'!$A$4:$CH$300,86,0),"")</f>
        <v/>
      </c>
      <c r="N263" s="25">
        <v>0</v>
      </c>
    </row>
    <row r="264" spans="1:14" x14ac:dyDescent="0.25">
      <c r="A264" s="11" t="s">
        <v>343</v>
      </c>
      <c r="B264" s="17">
        <v>0</v>
      </c>
      <c r="C264" s="17">
        <v>4.1500000000000004</v>
      </c>
      <c r="D264" s="17">
        <v>4.68</v>
      </c>
      <c r="E264" s="17">
        <v>0.1</v>
      </c>
      <c r="F264" s="17">
        <v>1.19</v>
      </c>
      <c r="G264" s="22">
        <f t="shared" si="4"/>
        <v>10.119999999999999</v>
      </c>
      <c r="H264" s="11" t="s">
        <v>282</v>
      </c>
      <c r="I264" s="24" t="str">
        <f>IFERROR(VLOOKUP($H264,'[1]Actual &amp; PO  Analysis 2020'!$A$4:$BJ$300,62,0),"")</f>
        <v>0</v>
      </c>
      <c r="J264" s="24">
        <f>IFERROR(VLOOKUP($H264,'[1]Actual &amp; PO  Analysis 2020'!$A$4:$BP$300,68,0),"")</f>
        <v>3.5166000000000004</v>
      </c>
      <c r="K264" s="24">
        <f>IFERROR(VLOOKUP($H264,'[1]Actual &amp; PO  Analysis 2020'!$A$4:$BV$300,74,0),"")</f>
        <v>5.3940000000000001</v>
      </c>
      <c r="L264" s="24">
        <f>IFERROR(VLOOKUP($H264,'[1]Actual &amp; PO  Analysis 2020'!$A$4:$CB$300,80,0),"")</f>
        <v>0.20899999999999999</v>
      </c>
      <c r="M264" s="24">
        <f>IFERROR(VLOOKUP($H264,'[1]Actual &amp; PO  Analysis 2020'!$A$4:$CH$300,86,0),"")</f>
        <v>2.556</v>
      </c>
      <c r="N264" s="25">
        <v>11.675599999999999</v>
      </c>
    </row>
    <row r="265" spans="1:14" x14ac:dyDescent="0.25">
      <c r="A265" s="11" t="s">
        <v>82</v>
      </c>
      <c r="B265" s="17">
        <v>0</v>
      </c>
      <c r="C265" s="17">
        <v>4.1500000000000004</v>
      </c>
      <c r="D265" s="17">
        <v>4.68</v>
      </c>
      <c r="E265" s="17">
        <v>0.1</v>
      </c>
      <c r="F265" s="17">
        <v>2.69</v>
      </c>
      <c r="G265" s="22">
        <f t="shared" si="4"/>
        <v>11.62</v>
      </c>
      <c r="H265" s="11" t="s">
        <v>374</v>
      </c>
      <c r="I265" s="24" t="str">
        <f>IFERROR(VLOOKUP($H265,'[1]Actual &amp; PO  Analysis 2020'!$A$4:$BJ$300,62,0),"")</f>
        <v/>
      </c>
      <c r="J265" s="24" t="str">
        <f>IFERROR(VLOOKUP($H265,'[1]Actual &amp; PO  Analysis 2020'!$A$4:$BP$300,68,0),"")</f>
        <v/>
      </c>
      <c r="K265" s="24" t="str">
        <f>IFERROR(VLOOKUP($H265,'[1]Actual &amp; PO  Analysis 2020'!$A$4:$BV$300,74,0),"")</f>
        <v/>
      </c>
      <c r="L265" s="24" t="str">
        <f>IFERROR(VLOOKUP($H265,'[1]Actual &amp; PO  Analysis 2020'!$A$4:$CB$300,80,0),"")</f>
        <v/>
      </c>
      <c r="M265" s="24" t="str">
        <f>IFERROR(VLOOKUP($H265,'[1]Actual &amp; PO  Analysis 2020'!$A$4:$CH$300,86,0),"")</f>
        <v/>
      </c>
      <c r="N265" s="25">
        <v>0</v>
      </c>
    </row>
    <row r="266" spans="1:14" x14ac:dyDescent="0.25">
      <c r="A266" s="11" t="s">
        <v>91</v>
      </c>
      <c r="B266" s="17">
        <v>0</v>
      </c>
      <c r="C266" s="17">
        <v>5.6020000000000003</v>
      </c>
      <c r="D266" s="17">
        <v>6.3170000000000002</v>
      </c>
      <c r="E266" s="17">
        <v>0.13500000000000001</v>
      </c>
      <c r="F266" s="17">
        <v>2.8360000000000003</v>
      </c>
      <c r="G266" s="22">
        <f t="shared" si="4"/>
        <v>14.89</v>
      </c>
      <c r="H266" s="11" t="s">
        <v>315</v>
      </c>
      <c r="I266" s="24" t="str">
        <f>IFERROR(VLOOKUP($H266,'[1]Actual &amp; PO  Analysis 2020'!$A$4:$BJ$300,62,0),"")</f>
        <v/>
      </c>
      <c r="J266" s="24" t="str">
        <f>IFERROR(VLOOKUP($H266,'[1]Actual &amp; PO  Analysis 2020'!$A$4:$BP$300,68,0),"")</f>
        <v/>
      </c>
      <c r="K266" s="24" t="str">
        <f>IFERROR(VLOOKUP($H266,'[1]Actual &amp; PO  Analysis 2020'!$A$4:$BV$300,74,0),"")</f>
        <v/>
      </c>
      <c r="L266" s="24" t="str">
        <f>IFERROR(VLOOKUP($H266,'[1]Actual &amp; PO  Analysis 2020'!$A$4:$CB$300,80,0),"")</f>
        <v/>
      </c>
      <c r="M266" s="24" t="str">
        <f>IFERROR(VLOOKUP($H266,'[1]Actual &amp; PO  Analysis 2020'!$A$4:$CH$300,86,0),"")</f>
        <v/>
      </c>
      <c r="N266" s="25">
        <v>0</v>
      </c>
    </row>
    <row r="267" spans="1:14" x14ac:dyDescent="0.25">
      <c r="A267" s="11" t="s">
        <v>279</v>
      </c>
      <c r="B267" s="17">
        <v>0</v>
      </c>
      <c r="C267" s="17">
        <v>4.1500000000000004</v>
      </c>
      <c r="D267" s="17">
        <v>4.68</v>
      </c>
      <c r="E267" s="17">
        <v>0.1</v>
      </c>
      <c r="F267" s="17">
        <v>2.4900000000000002</v>
      </c>
      <c r="G267" s="22">
        <f t="shared" si="4"/>
        <v>11.42</v>
      </c>
      <c r="H267" s="11" t="s">
        <v>280</v>
      </c>
      <c r="I267" s="24" t="str">
        <f>IFERROR(VLOOKUP($H267,'[1]Actual &amp; PO  Analysis 2020'!$A$4:$BJ$300,62,0),"")</f>
        <v/>
      </c>
      <c r="J267" s="24" t="str">
        <f>IFERROR(VLOOKUP($H267,'[1]Actual &amp; PO  Analysis 2020'!$A$4:$BP$300,68,0),"")</f>
        <v/>
      </c>
      <c r="K267" s="24" t="str">
        <f>IFERROR(VLOOKUP($H267,'[1]Actual &amp; PO  Analysis 2020'!$A$4:$BV$300,74,0),"")</f>
        <v/>
      </c>
      <c r="L267" s="24" t="str">
        <f>IFERROR(VLOOKUP($H267,'[1]Actual &amp; PO  Analysis 2020'!$A$4:$CB$300,80,0),"")</f>
        <v/>
      </c>
      <c r="M267" s="24" t="str">
        <f>IFERROR(VLOOKUP($H267,'[1]Actual &amp; PO  Analysis 2020'!$A$4:$CH$300,86,0),"")</f>
        <v/>
      </c>
      <c r="N267" s="25">
        <v>0</v>
      </c>
    </row>
    <row r="268" spans="1:14" x14ac:dyDescent="0.25">
      <c r="A268" s="11" t="s">
        <v>423</v>
      </c>
      <c r="B268" s="17">
        <v>0</v>
      </c>
      <c r="C268" s="17">
        <v>5.4</v>
      </c>
      <c r="D268" s="17">
        <v>6.48</v>
      </c>
      <c r="E268" s="17">
        <v>0.1</v>
      </c>
      <c r="F268" s="17">
        <v>1.41</v>
      </c>
      <c r="G268" s="22">
        <f t="shared" si="4"/>
        <v>13.39</v>
      </c>
      <c r="H268" s="11" t="s">
        <v>343</v>
      </c>
      <c r="I268" s="24" t="str">
        <f>IFERROR(VLOOKUP($H268,'[1]Actual &amp; PO  Analysis 2020'!$A$4:$BJ$300,62,0),"")</f>
        <v/>
      </c>
      <c r="J268" s="24" t="str">
        <f>IFERROR(VLOOKUP($H268,'[1]Actual &amp; PO  Analysis 2020'!$A$4:$BP$300,68,0),"")</f>
        <v/>
      </c>
      <c r="K268" s="24" t="str">
        <f>IFERROR(VLOOKUP($H268,'[1]Actual &amp; PO  Analysis 2020'!$A$4:$BV$300,74,0),"")</f>
        <v/>
      </c>
      <c r="L268" s="24" t="str">
        <f>IFERROR(VLOOKUP($H268,'[1]Actual &amp; PO  Analysis 2020'!$A$4:$CB$300,80,0),"")</f>
        <v/>
      </c>
      <c r="M268" s="24" t="str">
        <f>IFERROR(VLOOKUP($H268,'[1]Actual &amp; PO  Analysis 2020'!$A$4:$CH$300,86,0),"")</f>
        <v/>
      </c>
      <c r="N268" s="25">
        <v>0</v>
      </c>
    </row>
    <row r="269" spans="1:14" x14ac:dyDescent="0.25">
      <c r="A269" s="11" t="s">
        <v>283</v>
      </c>
      <c r="B269" s="17">
        <v>0</v>
      </c>
      <c r="C269" s="17">
        <v>4.16</v>
      </c>
      <c r="D269" s="17">
        <v>4.78</v>
      </c>
      <c r="E269" s="17">
        <v>0.1</v>
      </c>
      <c r="F269" s="17">
        <v>2.4900000000000002</v>
      </c>
      <c r="G269" s="22">
        <f t="shared" si="4"/>
        <v>11.530000000000001</v>
      </c>
      <c r="H269" s="11" t="s">
        <v>82</v>
      </c>
      <c r="I269" s="24" t="str">
        <f>IFERROR(VLOOKUP($H269,'[1]Actual &amp; PO  Analysis 2020'!$A$4:$BJ$300,62,0),"")</f>
        <v>0</v>
      </c>
      <c r="J269" s="24">
        <f>IFERROR(VLOOKUP($H269,'[1]Actual &amp; PO  Analysis 2020'!$A$4:$BP$300,68,0),"")</f>
        <v>6</v>
      </c>
      <c r="K269" s="24" t="str">
        <f>IFERROR(VLOOKUP($H269,'[1]Actual &amp; PO  Analysis 2020'!$A$4:$BV$300,74,0),"")</f>
        <v>0</v>
      </c>
      <c r="L269" s="24" t="str">
        <f>IFERROR(VLOOKUP($H269,'[1]Actual &amp; PO  Analysis 2020'!$A$4:$CB$300,80,0),"")</f>
        <v>0</v>
      </c>
      <c r="M269" s="24">
        <f>IFERROR(VLOOKUP($H269,'[1]Actual &amp; PO  Analysis 2020'!$A$4:$CH$300,86,0),"")</f>
        <v>0.83299999999999996</v>
      </c>
      <c r="N269" s="25">
        <v>6.8330000000000002</v>
      </c>
    </row>
    <row r="270" spans="1:14" x14ac:dyDescent="0.25">
      <c r="A270" s="11" t="s">
        <v>309</v>
      </c>
      <c r="B270" s="17">
        <v>0</v>
      </c>
      <c r="C270" s="17">
        <v>5.4539999999999997</v>
      </c>
      <c r="D270" s="17">
        <v>6.2670000000000003</v>
      </c>
      <c r="E270" s="17">
        <v>0.13100000000000001</v>
      </c>
      <c r="F270" s="17">
        <v>1.298</v>
      </c>
      <c r="G270" s="22">
        <f t="shared" si="4"/>
        <v>13.15</v>
      </c>
      <c r="H270" s="11" t="s">
        <v>91</v>
      </c>
      <c r="I270" s="24" t="str">
        <f>IFERROR(VLOOKUP($H270,'[1]Actual &amp; PO  Analysis 2020'!$A$4:$BJ$300,62,0),"")</f>
        <v>0</v>
      </c>
      <c r="J270" s="24">
        <f>IFERROR(VLOOKUP($H270,'[1]Actual &amp; PO  Analysis 2020'!$A$4:$BP$300,68,0),"")</f>
        <v>3.9560000000000004</v>
      </c>
      <c r="K270" s="24">
        <f>IFERROR(VLOOKUP($H270,'[1]Actual &amp; PO  Analysis 2020'!$A$4:$BV$300,74,0),"")</f>
        <v>3.6095999999999995</v>
      </c>
      <c r="L270" s="24">
        <f>IFERROR(VLOOKUP($H270,'[1]Actual &amp; PO  Analysis 2020'!$A$4:$CB$300,80,0),"")</f>
        <v>0.185</v>
      </c>
      <c r="M270" s="24">
        <f>IFERROR(VLOOKUP($H270,'[1]Actual &amp; PO  Analysis 2020'!$A$4:$CH$300,86,0),"")</f>
        <v>1.7525999999999999</v>
      </c>
      <c r="N270" s="25">
        <v>9.5031999999999996</v>
      </c>
    </row>
    <row r="271" spans="1:14" x14ac:dyDescent="0.25">
      <c r="A271" s="11" t="s">
        <v>368</v>
      </c>
      <c r="B271" s="17">
        <v>0</v>
      </c>
      <c r="C271" s="17">
        <v>4.63</v>
      </c>
      <c r="D271" s="17">
        <v>4.78</v>
      </c>
      <c r="E271" s="17">
        <v>0.1</v>
      </c>
      <c r="F271" s="17">
        <v>1.29</v>
      </c>
      <c r="G271" s="22">
        <f t="shared" si="4"/>
        <v>10.8</v>
      </c>
      <c r="H271" s="11" t="s">
        <v>279</v>
      </c>
      <c r="I271" s="24" t="str">
        <f>IFERROR(VLOOKUP($H271,'[1]Actual &amp; PO  Analysis 2020'!$A$4:$BJ$300,62,0),"")</f>
        <v>0</v>
      </c>
      <c r="J271" s="24">
        <f>IFERROR(VLOOKUP($H271,'[1]Actual &amp; PO  Analysis 2020'!$A$4:$BP$300,68,0),"")</f>
        <v>2.9225000000000003</v>
      </c>
      <c r="K271" s="24">
        <f>IFERROR(VLOOKUP($H271,'[1]Actual &amp; PO  Analysis 2020'!$A$4:$BV$300,74,0),"")</f>
        <v>5.2515000000000001</v>
      </c>
      <c r="L271" s="24">
        <f>IFERROR(VLOOKUP($H271,'[1]Actual &amp; PO  Analysis 2020'!$A$4:$CB$300,80,0),"")</f>
        <v>0.16949999999999998</v>
      </c>
      <c r="M271" s="24">
        <f>IFERROR(VLOOKUP($H271,'[1]Actual &amp; PO  Analysis 2020'!$A$4:$CH$300,86,0),"")</f>
        <v>1.867</v>
      </c>
      <c r="N271" s="25">
        <v>10.675000000000001</v>
      </c>
    </row>
    <row r="272" spans="1:14" x14ac:dyDescent="0.25">
      <c r="A272" s="11" t="s">
        <v>359</v>
      </c>
      <c r="B272" s="17">
        <v>0</v>
      </c>
      <c r="C272" s="17">
        <v>4.63</v>
      </c>
      <c r="D272" s="17">
        <v>4.78</v>
      </c>
      <c r="E272" s="17">
        <v>0.1</v>
      </c>
      <c r="F272" s="17">
        <v>1.29</v>
      </c>
      <c r="G272" s="22">
        <f t="shared" si="4"/>
        <v>10.8</v>
      </c>
      <c r="H272" s="11" t="s">
        <v>423</v>
      </c>
      <c r="I272" s="24" t="str">
        <f>IFERROR(VLOOKUP($H272,'[1]Actual &amp; PO  Analysis 2020'!$A$4:$BJ$300,62,0),"")</f>
        <v/>
      </c>
      <c r="J272" s="24" t="str">
        <f>IFERROR(VLOOKUP($H272,'[1]Actual &amp; PO  Analysis 2020'!$A$4:$BP$300,68,0),"")</f>
        <v/>
      </c>
      <c r="K272" s="24" t="str">
        <f>IFERROR(VLOOKUP($H272,'[1]Actual &amp; PO  Analysis 2020'!$A$4:$BV$300,74,0),"")</f>
        <v/>
      </c>
      <c r="L272" s="24" t="str">
        <f>IFERROR(VLOOKUP($H272,'[1]Actual &amp; PO  Analysis 2020'!$A$4:$CB$300,80,0),"")</f>
        <v/>
      </c>
      <c r="M272" s="24" t="str">
        <f>IFERROR(VLOOKUP($H272,'[1]Actual &amp; PO  Analysis 2020'!$A$4:$CH$300,86,0),"")</f>
        <v/>
      </c>
      <c r="N272" s="25">
        <v>0</v>
      </c>
    </row>
    <row r="273" spans="1:14" x14ac:dyDescent="0.25">
      <c r="A273" s="11" t="s">
        <v>90</v>
      </c>
      <c r="B273" s="17">
        <v>0</v>
      </c>
      <c r="C273" s="17">
        <v>4.16</v>
      </c>
      <c r="D273" s="17">
        <v>4.78</v>
      </c>
      <c r="E273" s="17">
        <v>0.1</v>
      </c>
      <c r="F273" s="17">
        <v>2.4900000000000002</v>
      </c>
      <c r="G273" s="22">
        <f t="shared" si="4"/>
        <v>11.530000000000001</v>
      </c>
      <c r="H273" s="11" t="s">
        <v>283</v>
      </c>
      <c r="I273" s="24" t="str">
        <f>IFERROR(VLOOKUP($H273,'[1]Actual &amp; PO  Analysis 2020'!$A$4:$BJ$300,62,0),"")</f>
        <v>0</v>
      </c>
      <c r="J273" s="24">
        <f>IFERROR(VLOOKUP($H273,'[1]Actual &amp; PO  Analysis 2020'!$A$4:$BP$300,68,0),"")</f>
        <v>3.1829999999999998</v>
      </c>
      <c r="K273" s="24">
        <f>IFERROR(VLOOKUP($H273,'[1]Actual &amp; PO  Analysis 2020'!$A$4:$BV$300,74,0),"")</f>
        <v>5.7839999999999998</v>
      </c>
      <c r="L273" s="24">
        <f>IFERROR(VLOOKUP($H273,'[1]Actual &amp; PO  Analysis 2020'!$A$4:$CB$300,80,0),"")</f>
        <v>0.17899999999999999</v>
      </c>
      <c r="M273" s="24">
        <f>IFERROR(VLOOKUP($H273,'[1]Actual &amp; PO  Analysis 2020'!$A$4:$CH$300,86,0),"")</f>
        <v>2.6760000000000002</v>
      </c>
      <c r="N273" s="25">
        <v>11.821999999999999</v>
      </c>
    </row>
    <row r="274" spans="1:14" x14ac:dyDescent="0.25">
      <c r="A274" s="11" t="s">
        <v>284</v>
      </c>
      <c r="B274" s="17">
        <v>0</v>
      </c>
      <c r="C274" s="17">
        <v>4.1500000000000004</v>
      </c>
      <c r="D274" s="17">
        <v>4.9700000000000006</v>
      </c>
      <c r="E274" s="17">
        <v>0.1</v>
      </c>
      <c r="F274" s="17">
        <v>2.4900000000000002</v>
      </c>
      <c r="G274" s="22">
        <f t="shared" si="4"/>
        <v>11.71</v>
      </c>
      <c r="H274" s="11" t="s">
        <v>309</v>
      </c>
      <c r="I274" s="24">
        <f>IFERROR(VLOOKUP($H274,'[1]Actual &amp; PO  Analysis 2020'!$A$4:$BJ$300,62,0),"")</f>
        <v>0</v>
      </c>
      <c r="J274" s="24">
        <f>IFERROR(VLOOKUP($H274,'[1]Actual &amp; PO  Analysis 2020'!$A$4:$BP$300,68,0),"")</f>
        <v>0</v>
      </c>
      <c r="K274" s="24">
        <f>IFERROR(VLOOKUP($H274,'[1]Actual &amp; PO  Analysis 2020'!$A$4:$BV$300,74,0),"")</f>
        <v>0</v>
      </c>
      <c r="L274" s="24">
        <f>IFERROR(VLOOKUP($H274,'[1]Actual &amp; PO  Analysis 2020'!$A$4:$CB$300,80,0),"")</f>
        <v>0</v>
      </c>
      <c r="M274" s="24">
        <f>IFERROR(VLOOKUP($H274,'[1]Actual &amp; PO  Analysis 2020'!$A$4:$CH$300,86,0),"")</f>
        <v>0</v>
      </c>
      <c r="N274" s="25">
        <v>0</v>
      </c>
    </row>
    <row r="275" spans="1:14" x14ac:dyDescent="0.25">
      <c r="A275" s="11" t="s">
        <v>361</v>
      </c>
      <c r="B275" s="17">
        <v>0</v>
      </c>
      <c r="C275" s="17">
        <v>4.1500000000000004</v>
      </c>
      <c r="D275" s="17">
        <v>4.9700000000000006</v>
      </c>
      <c r="E275" s="17">
        <v>0.1</v>
      </c>
      <c r="F275" s="17">
        <v>0.99</v>
      </c>
      <c r="G275" s="22">
        <f t="shared" si="4"/>
        <v>10.210000000000001</v>
      </c>
      <c r="H275" s="11" t="s">
        <v>368</v>
      </c>
      <c r="I275" s="24" t="str">
        <f>IFERROR(VLOOKUP($H275,'[1]Actual &amp; PO  Analysis 2020'!$A$4:$BJ$300,62,0),"")</f>
        <v/>
      </c>
      <c r="J275" s="24" t="str">
        <f>IFERROR(VLOOKUP($H275,'[1]Actual &amp; PO  Analysis 2020'!$A$4:$BP$300,68,0),"")</f>
        <v/>
      </c>
      <c r="K275" s="24" t="str">
        <f>IFERROR(VLOOKUP($H275,'[1]Actual &amp; PO  Analysis 2020'!$A$4:$BV$300,74,0),"")</f>
        <v/>
      </c>
      <c r="L275" s="24" t="str">
        <f>IFERROR(VLOOKUP($H275,'[1]Actual &amp; PO  Analysis 2020'!$A$4:$CB$300,80,0),"")</f>
        <v/>
      </c>
      <c r="M275" s="24" t="str">
        <f>IFERROR(VLOOKUP($H275,'[1]Actual &amp; PO  Analysis 2020'!$A$4:$CH$300,86,0),"")</f>
        <v/>
      </c>
      <c r="N275" s="25">
        <v>0</v>
      </c>
    </row>
    <row r="276" spans="1:14" x14ac:dyDescent="0.25">
      <c r="A276" s="11" t="s">
        <v>149</v>
      </c>
      <c r="B276" s="17">
        <v>0</v>
      </c>
      <c r="C276" s="17">
        <v>6.0829999999999993</v>
      </c>
      <c r="D276" s="17">
        <v>1.82</v>
      </c>
      <c r="E276" s="17">
        <v>0.1</v>
      </c>
      <c r="F276" s="17">
        <v>0.6</v>
      </c>
      <c r="G276" s="22">
        <f t="shared" si="4"/>
        <v>8.6029999999999998</v>
      </c>
      <c r="H276" s="11" t="s">
        <v>359</v>
      </c>
      <c r="I276" s="24" t="str">
        <f>IFERROR(VLOOKUP($H276,'[1]Actual &amp; PO  Analysis 2020'!$A$4:$BJ$300,62,0),"")</f>
        <v/>
      </c>
      <c r="J276" s="24" t="str">
        <f>IFERROR(VLOOKUP($H276,'[1]Actual &amp; PO  Analysis 2020'!$A$4:$BP$300,68,0),"")</f>
        <v/>
      </c>
      <c r="K276" s="24" t="str">
        <f>IFERROR(VLOOKUP($H276,'[1]Actual &amp; PO  Analysis 2020'!$A$4:$BV$300,74,0),"")</f>
        <v/>
      </c>
      <c r="L276" s="24" t="str">
        <f>IFERROR(VLOOKUP($H276,'[1]Actual &amp; PO  Analysis 2020'!$A$4:$CB$300,80,0),"")</f>
        <v/>
      </c>
      <c r="M276" s="24" t="str">
        <f>IFERROR(VLOOKUP($H276,'[1]Actual &amp; PO  Analysis 2020'!$A$4:$CH$300,86,0),"")</f>
        <v/>
      </c>
      <c r="N276" s="25">
        <v>0</v>
      </c>
    </row>
    <row r="277" spans="1:14" x14ac:dyDescent="0.25">
      <c r="A277" s="11" t="s">
        <v>178</v>
      </c>
      <c r="B277" s="17">
        <v>0</v>
      </c>
      <c r="C277" s="17">
        <v>2.0369999999999999</v>
      </c>
      <c r="D277" s="17">
        <v>2.137</v>
      </c>
      <c r="E277" s="17">
        <v>7.1999999999999995E-2</v>
      </c>
      <c r="F277" s="17">
        <v>0.55400000000000005</v>
      </c>
      <c r="G277" s="22">
        <f t="shared" si="4"/>
        <v>4.8</v>
      </c>
      <c r="H277" s="11" t="s">
        <v>90</v>
      </c>
      <c r="I277" s="24" t="str">
        <f>IFERROR(VLOOKUP($H277,'[1]Actual &amp; PO  Analysis 2020'!$A$4:$BJ$300,62,0),"")</f>
        <v>0</v>
      </c>
      <c r="J277" s="24">
        <f>IFERROR(VLOOKUP($H277,'[1]Actual &amp; PO  Analysis 2020'!$A$4:$BP$300,68,0),"")</f>
        <v>4.942333333333333</v>
      </c>
      <c r="K277" s="24">
        <f>IFERROR(VLOOKUP($H277,'[1]Actual &amp; PO  Analysis 2020'!$A$4:$BV$300,74,0),"")</f>
        <v>5.0486666666666666</v>
      </c>
      <c r="L277" s="24">
        <f>IFERROR(VLOOKUP($H277,'[1]Actual &amp; PO  Analysis 2020'!$A$4:$CB$300,80,0),"")</f>
        <v>0.17549999999999999</v>
      </c>
      <c r="M277" s="24">
        <f>IFERROR(VLOOKUP($H277,'[1]Actual &amp; PO  Analysis 2020'!$A$4:$CH$300,86,0),"")</f>
        <v>1.4773333333333334</v>
      </c>
      <c r="N277" s="25">
        <v>11.643833333333333</v>
      </c>
    </row>
    <row r="278" spans="1:14" x14ac:dyDescent="0.25">
      <c r="A278" s="11" t="s">
        <v>496</v>
      </c>
      <c r="B278" s="17">
        <v>0</v>
      </c>
      <c r="C278" s="17">
        <v>2.65</v>
      </c>
      <c r="D278" s="17">
        <v>2.46</v>
      </c>
      <c r="E278" s="17">
        <v>0</v>
      </c>
      <c r="F278" s="17">
        <v>0.59</v>
      </c>
      <c r="G278" s="22">
        <f t="shared" si="4"/>
        <v>5.6999999999999993</v>
      </c>
      <c r="H278" s="11" t="s">
        <v>284</v>
      </c>
      <c r="I278" s="24" t="str">
        <f>IFERROR(VLOOKUP($H278,'[1]Actual &amp; PO  Analysis 2020'!$A$4:$BJ$300,62,0),"")</f>
        <v>0</v>
      </c>
      <c r="J278" s="24">
        <f>IFERROR(VLOOKUP($H278,'[1]Actual &amp; PO  Analysis 2020'!$A$4:$BP$300,68,0),"")</f>
        <v>4.3029999999999999</v>
      </c>
      <c r="K278" s="24">
        <f>IFERROR(VLOOKUP($H278,'[1]Actual &amp; PO  Analysis 2020'!$A$4:$BV$300,74,0),"")</f>
        <v>3.0335000000000001</v>
      </c>
      <c r="L278" s="24">
        <f>IFERROR(VLOOKUP($H278,'[1]Actual &amp; PO  Analysis 2020'!$A$4:$CB$300,80,0),"")</f>
        <v>0.155</v>
      </c>
      <c r="M278" s="24">
        <f>IFERROR(VLOOKUP($H278,'[1]Actual &amp; PO  Analysis 2020'!$A$4:$CH$300,86,0),"")</f>
        <v>3.9750000000000001</v>
      </c>
      <c r="N278" s="25">
        <v>11.4665</v>
      </c>
    </row>
    <row r="279" spans="1:14" x14ac:dyDescent="0.25">
      <c r="A279" s="11" t="s">
        <v>461</v>
      </c>
      <c r="B279" s="17">
        <v>0</v>
      </c>
      <c r="C279" s="17">
        <v>0</v>
      </c>
      <c r="D279" s="17">
        <v>0</v>
      </c>
      <c r="E279" s="17">
        <v>0</v>
      </c>
      <c r="F279" s="17">
        <v>0</v>
      </c>
      <c r="G279" s="22">
        <f t="shared" si="4"/>
        <v>0</v>
      </c>
      <c r="H279" s="11" t="s">
        <v>361</v>
      </c>
      <c r="I279" s="24">
        <f>IFERROR(VLOOKUP($H279,'[1]Actual &amp; PO  Analysis 2020'!$A$4:$BJ$300,62,0),"")</f>
        <v>0</v>
      </c>
      <c r="J279" s="24">
        <f>IFERROR(VLOOKUP($H279,'[1]Actual &amp; PO  Analysis 2020'!$A$4:$BP$300,68,0),"")</f>
        <v>0</v>
      </c>
      <c r="K279" s="24">
        <f>IFERROR(VLOOKUP($H279,'[1]Actual &amp; PO  Analysis 2020'!$A$4:$BV$300,74,0),"")</f>
        <v>0</v>
      </c>
      <c r="L279" s="24">
        <f>IFERROR(VLOOKUP($H279,'[1]Actual &amp; PO  Analysis 2020'!$A$4:$CB$300,80,0),"")</f>
        <v>0</v>
      </c>
      <c r="M279" s="24">
        <f>IFERROR(VLOOKUP($H279,'[1]Actual &amp; PO  Analysis 2020'!$A$4:$CH$300,86,0),"")</f>
        <v>0</v>
      </c>
      <c r="N279" s="25">
        <v>0</v>
      </c>
    </row>
    <row r="280" spans="1:14" x14ac:dyDescent="0.25">
      <c r="A280" s="11" t="s">
        <v>455</v>
      </c>
      <c r="B280" s="17">
        <v>0</v>
      </c>
      <c r="C280" s="17">
        <v>2.39</v>
      </c>
      <c r="D280" s="17">
        <v>1.97</v>
      </c>
      <c r="E280" s="17">
        <v>0</v>
      </c>
      <c r="F280" s="17">
        <v>0.7</v>
      </c>
      <c r="G280" s="22">
        <f t="shared" si="4"/>
        <v>5.0600000000000005</v>
      </c>
      <c r="H280" s="11" t="s">
        <v>149</v>
      </c>
      <c r="I280" s="24" t="str">
        <f>IFERROR(VLOOKUP($H280,'[1]Actual &amp; PO  Analysis 2020'!$A$4:$BJ$300,62,0),"")</f>
        <v>0</v>
      </c>
      <c r="J280" s="24">
        <f>IFERROR(VLOOKUP($H280,'[1]Actual &amp; PO  Analysis 2020'!$A$4:$BP$300,68,0),"")</f>
        <v>9.0615000000000006</v>
      </c>
      <c r="K280" s="24">
        <f>IFERROR(VLOOKUP($H280,'[1]Actual &amp; PO  Analysis 2020'!$A$4:$BV$300,74,0),"")</f>
        <v>3.6478000000000002</v>
      </c>
      <c r="L280" s="24">
        <f>IFERROR(VLOOKUP($H280,'[1]Actual &amp; PO  Analysis 2020'!$A$4:$CB$300,80,0),"")</f>
        <v>0.1794</v>
      </c>
      <c r="M280" s="24">
        <f>IFERROR(VLOOKUP($H280,'[1]Actual &amp; PO  Analysis 2020'!$A$4:$CH$300,86,0),"")</f>
        <v>1.2857999999999998</v>
      </c>
      <c r="N280" s="25">
        <v>14.1828</v>
      </c>
    </row>
    <row r="281" spans="1:14" x14ac:dyDescent="0.25">
      <c r="A281" s="11" t="s">
        <v>456</v>
      </c>
      <c r="B281" s="17">
        <v>0</v>
      </c>
      <c r="C281" s="17">
        <v>2.42</v>
      </c>
      <c r="D281" s="17">
        <v>1.97</v>
      </c>
      <c r="E281" s="17">
        <v>0</v>
      </c>
      <c r="F281" s="17">
        <v>0.73</v>
      </c>
      <c r="G281" s="22">
        <f t="shared" si="4"/>
        <v>5.1199999999999992</v>
      </c>
      <c r="H281" s="11" t="s">
        <v>178</v>
      </c>
      <c r="I281" s="24" t="str">
        <f>IFERROR(VLOOKUP($H281,'[1]Actual &amp; PO  Analysis 2020'!$A$4:$BJ$300,62,0),"")</f>
        <v>0</v>
      </c>
      <c r="J281" s="24">
        <f>IFERROR(VLOOKUP($H281,'[1]Actual &amp; PO  Analysis 2020'!$A$4:$BP$300,68,0),"")</f>
        <v>4.6996000000000002</v>
      </c>
      <c r="K281" s="24">
        <f>IFERROR(VLOOKUP($H281,'[1]Actual &amp; PO  Analysis 2020'!$A$4:$BV$300,74,0),"")</f>
        <v>2.0289999999999999</v>
      </c>
      <c r="L281" s="24">
        <f>IFERROR(VLOOKUP($H281,'[1]Actual &amp; PO  Analysis 2020'!$A$4:$CB$300,80,0),"")</f>
        <v>0.18160000000000004</v>
      </c>
      <c r="M281" s="24">
        <f>IFERROR(VLOOKUP($H281,'[1]Actual &amp; PO  Analysis 2020'!$A$4:$CH$300,86,0),"")</f>
        <v>1.2703333333333333</v>
      </c>
      <c r="N281" s="25">
        <v>8.0596499999999995</v>
      </c>
    </row>
    <row r="282" spans="1:14" x14ac:dyDescent="0.25">
      <c r="A282" s="11" t="s">
        <v>451</v>
      </c>
      <c r="B282" s="17">
        <v>0</v>
      </c>
      <c r="C282" s="17">
        <v>3.05</v>
      </c>
      <c r="D282" s="17">
        <v>2.59</v>
      </c>
      <c r="E282" s="17">
        <v>0</v>
      </c>
      <c r="F282" s="17">
        <v>0.7</v>
      </c>
      <c r="G282" s="22">
        <f t="shared" si="4"/>
        <v>6.34</v>
      </c>
      <c r="H282" s="11" t="s">
        <v>496</v>
      </c>
      <c r="I282" s="24" t="str">
        <f>IFERROR(VLOOKUP($H282,'[1]Actual &amp; PO  Analysis 2020'!$A$4:$BJ$300,62,0),"")</f>
        <v>0</v>
      </c>
      <c r="J282" s="24">
        <f>IFERROR(VLOOKUP($H282,'[1]Actual &amp; PO  Analysis 2020'!$A$4:$BP$300,68,0),"")</f>
        <v>7.2987500000000001</v>
      </c>
      <c r="K282" s="24">
        <f>IFERROR(VLOOKUP($H282,'[1]Actual &amp; PO  Analysis 2020'!$A$4:$BV$300,74,0),"")</f>
        <v>3.3550000000000004</v>
      </c>
      <c r="L282" s="24">
        <f>IFERROR(VLOOKUP($H282,'[1]Actual &amp; PO  Analysis 2020'!$A$4:$CB$300,80,0),"")</f>
        <v>0.17525000000000002</v>
      </c>
      <c r="M282" s="24">
        <f>IFERROR(VLOOKUP($H282,'[1]Actual &amp; PO  Analysis 2020'!$A$4:$CH$300,86,0),"")</f>
        <v>1.41425</v>
      </c>
      <c r="N282" s="25">
        <v>12.872999999999999</v>
      </c>
    </row>
    <row r="283" spans="1:14" x14ac:dyDescent="0.25">
      <c r="A283" s="11" t="s">
        <v>452</v>
      </c>
      <c r="B283" s="17">
        <v>0</v>
      </c>
      <c r="C283" s="17">
        <v>3.97</v>
      </c>
      <c r="D283" s="17">
        <v>2.98</v>
      </c>
      <c r="E283" s="17">
        <v>0</v>
      </c>
      <c r="F283" s="17">
        <v>0.73</v>
      </c>
      <c r="G283" s="22">
        <f t="shared" si="4"/>
        <v>7.68</v>
      </c>
      <c r="H283" s="11" t="s">
        <v>461</v>
      </c>
      <c r="I283" s="24" t="str">
        <f>IFERROR(VLOOKUP($H283,'[1]Actual &amp; PO  Analysis 2020'!$A$4:$BJ$300,62,0),"")</f>
        <v/>
      </c>
      <c r="J283" s="24" t="str">
        <f>IFERROR(VLOOKUP($H283,'[1]Actual &amp; PO  Analysis 2020'!$A$4:$BP$300,68,0),"")</f>
        <v/>
      </c>
      <c r="K283" s="24" t="str">
        <f>IFERROR(VLOOKUP($H283,'[1]Actual &amp; PO  Analysis 2020'!$A$4:$BV$300,74,0),"")</f>
        <v/>
      </c>
      <c r="L283" s="24" t="str">
        <f>IFERROR(VLOOKUP($H283,'[1]Actual &amp; PO  Analysis 2020'!$A$4:$CB$300,80,0),"")</f>
        <v/>
      </c>
      <c r="M283" s="24" t="str">
        <f>IFERROR(VLOOKUP($H283,'[1]Actual &amp; PO  Analysis 2020'!$A$4:$CH$300,86,0),"")</f>
        <v/>
      </c>
      <c r="N283" s="25">
        <v>0</v>
      </c>
    </row>
    <row r="284" spans="1:14" x14ac:dyDescent="0.25">
      <c r="A284" s="11" t="s">
        <v>169</v>
      </c>
      <c r="B284" s="17">
        <v>0</v>
      </c>
      <c r="C284" s="17">
        <v>6.59</v>
      </c>
      <c r="D284" s="17">
        <v>3.66</v>
      </c>
      <c r="E284" s="17">
        <v>0.1</v>
      </c>
      <c r="F284" s="17">
        <v>0.85</v>
      </c>
      <c r="G284" s="22">
        <f t="shared" si="4"/>
        <v>11.2</v>
      </c>
      <c r="H284" s="11" t="s">
        <v>455</v>
      </c>
      <c r="I284" s="24" t="str">
        <f>IFERROR(VLOOKUP($H284,'[1]Actual &amp; PO  Analysis 2020'!$A$4:$BJ$300,62,0),"")</f>
        <v>0</v>
      </c>
      <c r="J284" s="24">
        <f>IFERROR(VLOOKUP($H284,'[1]Actual &amp; PO  Analysis 2020'!$A$4:$BP$300,68,0),"")</f>
        <v>5.2830000000000004</v>
      </c>
      <c r="K284" s="24">
        <f>IFERROR(VLOOKUP($H284,'[1]Actual &amp; PO  Analysis 2020'!$A$4:$BV$300,74,0),"")</f>
        <v>5.4619999999999997</v>
      </c>
      <c r="L284" s="24">
        <f>IFERROR(VLOOKUP($H284,'[1]Actual &amp; PO  Analysis 2020'!$A$4:$CB$300,80,0),"")</f>
        <v>0.20749999999999999</v>
      </c>
      <c r="M284" s="24">
        <f>IFERROR(VLOOKUP($H284,'[1]Actual &amp; PO  Analysis 2020'!$A$4:$CH$300,86,0),"")</f>
        <v>1.669</v>
      </c>
      <c r="N284" s="25">
        <v>13.973000000000003</v>
      </c>
    </row>
    <row r="285" spans="1:14" x14ac:dyDescent="0.25">
      <c r="A285" s="11" t="s">
        <v>101</v>
      </c>
      <c r="B285" s="17">
        <v>0</v>
      </c>
      <c r="C285" s="17">
        <v>7.85</v>
      </c>
      <c r="D285" s="17">
        <v>5.29</v>
      </c>
      <c r="E285" s="17">
        <v>0.1</v>
      </c>
      <c r="F285" s="17">
        <v>1.08</v>
      </c>
      <c r="G285" s="22">
        <f t="shared" si="4"/>
        <v>14.32</v>
      </c>
      <c r="H285" s="11" t="s">
        <v>456</v>
      </c>
      <c r="I285" s="24" t="str">
        <f>IFERROR(VLOOKUP($H285,'[1]Actual &amp; PO  Analysis 2020'!$A$4:$BJ$300,62,0),"")</f>
        <v>0</v>
      </c>
      <c r="J285" s="24">
        <f>IFERROR(VLOOKUP($H285,'[1]Actual &amp; PO  Analysis 2020'!$A$4:$BP$300,68,0),"")</f>
        <v>4.8674999999999997</v>
      </c>
      <c r="K285" s="24">
        <f>IFERROR(VLOOKUP($H285,'[1]Actual &amp; PO  Analysis 2020'!$A$4:$BV$300,74,0),"")</f>
        <v>5.6792499999999997</v>
      </c>
      <c r="L285" s="24">
        <f>IFERROR(VLOOKUP($H285,'[1]Actual &amp; PO  Analysis 2020'!$A$4:$CB$300,80,0),"")</f>
        <v>0.18075000000000002</v>
      </c>
      <c r="M285" s="24">
        <f>IFERROR(VLOOKUP($H285,'[1]Actual &amp; PO  Analysis 2020'!$A$4:$CH$300,86,0),"")</f>
        <v>1.8694999999999999</v>
      </c>
      <c r="N285" s="25">
        <v>13.368666666666668</v>
      </c>
    </row>
    <row r="286" spans="1:14" x14ac:dyDescent="0.25">
      <c r="A286" s="11" t="s">
        <v>103</v>
      </c>
      <c r="B286" s="17">
        <v>0</v>
      </c>
      <c r="C286" s="17">
        <v>5.4</v>
      </c>
      <c r="D286" s="17">
        <v>3.27</v>
      </c>
      <c r="E286" s="17">
        <v>0.1</v>
      </c>
      <c r="F286" s="17">
        <v>1.19</v>
      </c>
      <c r="G286" s="22">
        <f t="shared" si="4"/>
        <v>9.9599999999999991</v>
      </c>
      <c r="H286" s="11" t="s">
        <v>451</v>
      </c>
      <c r="I286" s="24" t="str">
        <f>IFERROR(VLOOKUP($H286,'[1]Actual &amp; PO  Analysis 2020'!$A$4:$BJ$300,62,0),"")</f>
        <v>0</v>
      </c>
      <c r="J286" s="24">
        <f>IFERROR(VLOOKUP($H286,'[1]Actual &amp; PO  Analysis 2020'!$A$4:$BP$300,68,0),"")</f>
        <v>5.9972499999999993</v>
      </c>
      <c r="K286" s="24">
        <f>IFERROR(VLOOKUP($H286,'[1]Actual &amp; PO  Analysis 2020'!$A$4:$BV$300,74,0),"")</f>
        <v>6.0105000000000004</v>
      </c>
      <c r="L286" s="24">
        <f>IFERROR(VLOOKUP($H286,'[1]Actual &amp; PO  Analysis 2020'!$A$4:$CB$300,80,0),"")</f>
        <v>0.17699999999999999</v>
      </c>
      <c r="M286" s="24">
        <f>IFERROR(VLOOKUP($H286,'[1]Actual &amp; PO  Analysis 2020'!$A$4:$CH$300,86,0),"")</f>
        <v>2.238</v>
      </c>
      <c r="N286" s="25">
        <v>15.051666666666664</v>
      </c>
    </row>
    <row r="287" spans="1:14" x14ac:dyDescent="0.25">
      <c r="A287" s="11" t="s">
        <v>62</v>
      </c>
      <c r="B287" s="17">
        <v>0</v>
      </c>
      <c r="C287" s="17">
        <v>1.53</v>
      </c>
      <c r="D287" s="17">
        <v>1.8900000000000001</v>
      </c>
      <c r="E287" s="17">
        <v>0.1</v>
      </c>
      <c r="F287" s="17">
        <v>0.75</v>
      </c>
      <c r="G287" s="22">
        <f t="shared" si="4"/>
        <v>4.2699999999999996</v>
      </c>
      <c r="H287" s="11" t="s">
        <v>452</v>
      </c>
      <c r="I287" s="24" t="str">
        <f>IFERROR(VLOOKUP($H287,'[1]Actual &amp; PO  Analysis 2020'!$A$4:$BJ$300,62,0),"")</f>
        <v>0</v>
      </c>
      <c r="J287" s="24">
        <f>IFERROR(VLOOKUP($H287,'[1]Actual &amp; PO  Analysis 2020'!$A$4:$BP$300,68,0),"")</f>
        <v>6.6514999999999995</v>
      </c>
      <c r="K287" s="24">
        <f>IFERROR(VLOOKUP($H287,'[1]Actual &amp; PO  Analysis 2020'!$A$4:$BV$300,74,0),"")</f>
        <v>5.6816666666666658</v>
      </c>
      <c r="L287" s="24">
        <f>IFERROR(VLOOKUP($H287,'[1]Actual &amp; PO  Analysis 2020'!$A$4:$CB$300,80,0),"")</f>
        <v>0.17733333333333334</v>
      </c>
      <c r="M287" s="24">
        <f>IFERROR(VLOOKUP($H287,'[1]Actual &amp; PO  Analysis 2020'!$A$4:$CH$300,86,0),"")</f>
        <v>1.6573333333333331</v>
      </c>
      <c r="N287" s="25">
        <v>14.819499999999998</v>
      </c>
    </row>
    <row r="288" spans="1:14" x14ac:dyDescent="0.25">
      <c r="A288" s="11" t="s">
        <v>420</v>
      </c>
      <c r="B288" s="17">
        <v>0</v>
      </c>
      <c r="C288" s="17">
        <v>3.77</v>
      </c>
      <c r="D288" s="17">
        <v>3.3600000000000003</v>
      </c>
      <c r="E288" s="17">
        <v>0.1</v>
      </c>
      <c r="F288" s="17">
        <v>0.64</v>
      </c>
      <c r="G288" s="22">
        <f t="shared" si="4"/>
        <v>7.87</v>
      </c>
      <c r="H288" s="11" t="s">
        <v>169</v>
      </c>
      <c r="I288" s="24" t="str">
        <f>IFERROR(VLOOKUP($H288,'[1]Actual &amp; PO  Analysis 2020'!$A$4:$BJ$300,62,0),"")</f>
        <v/>
      </c>
      <c r="J288" s="24" t="str">
        <f>IFERROR(VLOOKUP($H288,'[1]Actual &amp; PO  Analysis 2020'!$A$4:$BP$300,68,0),"")</f>
        <v/>
      </c>
      <c r="K288" s="24" t="str">
        <f>IFERROR(VLOOKUP($H288,'[1]Actual &amp; PO  Analysis 2020'!$A$4:$BV$300,74,0),"")</f>
        <v/>
      </c>
      <c r="L288" s="24" t="str">
        <f>IFERROR(VLOOKUP($H288,'[1]Actual &amp; PO  Analysis 2020'!$A$4:$CB$300,80,0),"")</f>
        <v/>
      </c>
      <c r="M288" s="24" t="str">
        <f>IFERROR(VLOOKUP($H288,'[1]Actual &amp; PO  Analysis 2020'!$A$4:$CH$300,86,0),"")</f>
        <v/>
      </c>
      <c r="N288" s="25">
        <v>0</v>
      </c>
    </row>
    <row r="289" spans="1:14" x14ac:dyDescent="0.25">
      <c r="A289" s="11" t="s">
        <v>231</v>
      </c>
      <c r="B289" s="17">
        <v>0</v>
      </c>
      <c r="C289" s="17">
        <v>2.25</v>
      </c>
      <c r="D289" s="17">
        <v>2.92</v>
      </c>
      <c r="E289" s="17">
        <v>0.1</v>
      </c>
      <c r="F289" s="17">
        <v>0.97</v>
      </c>
      <c r="G289" s="22">
        <f t="shared" si="4"/>
        <v>6.2399999999999993</v>
      </c>
      <c r="H289" s="11" t="s">
        <v>101</v>
      </c>
      <c r="I289" s="24" t="str">
        <f>IFERROR(VLOOKUP($H289,'[1]Actual &amp; PO  Analysis 2020'!$A$4:$BJ$300,62,0),"")</f>
        <v/>
      </c>
      <c r="J289" s="24" t="str">
        <f>IFERROR(VLOOKUP($H289,'[1]Actual &amp; PO  Analysis 2020'!$A$4:$BP$300,68,0),"")</f>
        <v/>
      </c>
      <c r="K289" s="24" t="str">
        <f>IFERROR(VLOOKUP($H289,'[1]Actual &amp; PO  Analysis 2020'!$A$4:$BV$300,74,0),"")</f>
        <v/>
      </c>
      <c r="L289" s="24" t="str">
        <f>IFERROR(VLOOKUP($H289,'[1]Actual &amp; PO  Analysis 2020'!$A$4:$CB$300,80,0),"")</f>
        <v/>
      </c>
      <c r="M289" s="24" t="str">
        <f>IFERROR(VLOOKUP($H289,'[1]Actual &amp; PO  Analysis 2020'!$A$4:$CH$300,86,0),"")</f>
        <v/>
      </c>
      <c r="N289" s="25">
        <v>0</v>
      </c>
    </row>
    <row r="290" spans="1:14" x14ac:dyDescent="0.25">
      <c r="A290" s="11" t="s">
        <v>264</v>
      </c>
      <c r="B290" s="17">
        <v>0</v>
      </c>
      <c r="C290" s="17">
        <v>3.7410000000000001</v>
      </c>
      <c r="D290" s="17">
        <v>4.58</v>
      </c>
      <c r="E290" s="17">
        <v>0</v>
      </c>
      <c r="F290" s="17">
        <v>0.99199999999999999</v>
      </c>
      <c r="G290" s="22">
        <f t="shared" si="4"/>
        <v>9.3129999999999988</v>
      </c>
      <c r="H290" s="11" t="s">
        <v>103</v>
      </c>
      <c r="I290" s="24" t="str">
        <f>IFERROR(VLOOKUP($H290,'[1]Actual &amp; PO  Analysis 2020'!$A$4:$BJ$300,62,0),"")</f>
        <v/>
      </c>
      <c r="J290" s="24" t="str">
        <f>IFERROR(VLOOKUP($H290,'[1]Actual &amp; PO  Analysis 2020'!$A$4:$BP$300,68,0),"")</f>
        <v/>
      </c>
      <c r="K290" s="24" t="str">
        <f>IFERROR(VLOOKUP($H290,'[1]Actual &amp; PO  Analysis 2020'!$A$4:$BV$300,74,0),"")</f>
        <v/>
      </c>
      <c r="L290" s="24" t="str">
        <f>IFERROR(VLOOKUP($H290,'[1]Actual &amp; PO  Analysis 2020'!$A$4:$CB$300,80,0),"")</f>
        <v/>
      </c>
      <c r="M290" s="24" t="str">
        <f>IFERROR(VLOOKUP($H290,'[1]Actual &amp; PO  Analysis 2020'!$A$4:$CH$300,86,0),"")</f>
        <v/>
      </c>
      <c r="N290" s="25">
        <v>0</v>
      </c>
    </row>
    <row r="291" spans="1:14" x14ac:dyDescent="0.25">
      <c r="A291" s="11" t="s">
        <v>265</v>
      </c>
      <c r="B291" s="17">
        <v>0</v>
      </c>
      <c r="C291" s="17">
        <v>0</v>
      </c>
      <c r="D291" s="17">
        <v>0</v>
      </c>
      <c r="E291" s="17">
        <v>0</v>
      </c>
      <c r="F291" s="17">
        <v>0</v>
      </c>
      <c r="G291" s="22">
        <f t="shared" si="4"/>
        <v>0</v>
      </c>
      <c r="H291" s="11" t="s">
        <v>62</v>
      </c>
      <c r="I291" s="24" t="str">
        <f>IFERROR(VLOOKUP($H291,'[1]Actual &amp; PO  Analysis 2020'!$A$4:$BJ$300,62,0),"")</f>
        <v/>
      </c>
      <c r="J291" s="24" t="str">
        <f>IFERROR(VLOOKUP($H291,'[1]Actual &amp; PO  Analysis 2020'!$A$4:$BP$300,68,0),"")</f>
        <v/>
      </c>
      <c r="K291" s="24" t="str">
        <f>IFERROR(VLOOKUP($H291,'[1]Actual &amp; PO  Analysis 2020'!$A$4:$BV$300,74,0),"")</f>
        <v/>
      </c>
      <c r="L291" s="24" t="str">
        <f>IFERROR(VLOOKUP($H291,'[1]Actual &amp; PO  Analysis 2020'!$A$4:$CB$300,80,0),"")</f>
        <v/>
      </c>
      <c r="M291" s="24" t="str">
        <f>IFERROR(VLOOKUP($H291,'[1]Actual &amp; PO  Analysis 2020'!$A$4:$CH$300,86,0),"")</f>
        <v/>
      </c>
      <c r="N291" s="25">
        <v>0</v>
      </c>
    </row>
    <row r="292" spans="1:14" x14ac:dyDescent="0.25">
      <c r="A292" s="11" t="s">
        <v>265</v>
      </c>
      <c r="B292" s="17">
        <v>0</v>
      </c>
      <c r="C292" s="17">
        <v>0</v>
      </c>
      <c r="D292" s="17">
        <v>0</v>
      </c>
      <c r="E292" s="17">
        <v>0</v>
      </c>
      <c r="F292" s="17">
        <v>0</v>
      </c>
      <c r="G292" s="22">
        <f t="shared" si="4"/>
        <v>0</v>
      </c>
      <c r="H292" s="11" t="s">
        <v>420</v>
      </c>
      <c r="I292" s="24" t="str">
        <f>IFERROR(VLOOKUP($H292,'[1]Actual &amp; PO  Analysis 2020'!$A$4:$BJ$300,62,0),"")</f>
        <v/>
      </c>
      <c r="J292" s="24" t="str">
        <f>IFERROR(VLOOKUP($H292,'[1]Actual &amp; PO  Analysis 2020'!$A$4:$BP$300,68,0),"")</f>
        <v/>
      </c>
      <c r="K292" s="24" t="str">
        <f>IFERROR(VLOOKUP($H292,'[1]Actual &amp; PO  Analysis 2020'!$A$4:$BV$300,74,0),"")</f>
        <v/>
      </c>
      <c r="L292" s="24" t="str">
        <f>IFERROR(VLOOKUP($H292,'[1]Actual &amp; PO  Analysis 2020'!$A$4:$CB$300,80,0),"")</f>
        <v/>
      </c>
      <c r="M292" s="24" t="str">
        <f>IFERROR(VLOOKUP($H292,'[1]Actual &amp; PO  Analysis 2020'!$A$4:$CH$300,86,0),"")</f>
        <v/>
      </c>
      <c r="N292" s="25">
        <v>0</v>
      </c>
    </row>
    <row r="293" spans="1:14" x14ac:dyDescent="0.25">
      <c r="A293" s="11" t="s">
        <v>201</v>
      </c>
      <c r="B293" s="17">
        <v>0</v>
      </c>
      <c r="C293" s="17">
        <v>2.86</v>
      </c>
      <c r="D293" s="17">
        <v>5.9109999999999996</v>
      </c>
      <c r="E293" s="17">
        <v>0</v>
      </c>
      <c r="F293" s="17">
        <v>2.5739999999999998</v>
      </c>
      <c r="G293" s="22">
        <f t="shared" si="4"/>
        <v>11.344999999999999</v>
      </c>
      <c r="H293" s="11" t="s">
        <v>231</v>
      </c>
      <c r="I293" s="24" t="str">
        <f>IFERROR(VLOOKUP($H293,'[1]Actual &amp; PO  Analysis 2020'!$A$4:$BJ$300,62,0),"")</f>
        <v/>
      </c>
      <c r="J293" s="24" t="str">
        <f>IFERROR(VLOOKUP($H293,'[1]Actual &amp; PO  Analysis 2020'!$A$4:$BP$300,68,0),"")</f>
        <v/>
      </c>
      <c r="K293" s="24" t="str">
        <f>IFERROR(VLOOKUP($H293,'[1]Actual &amp; PO  Analysis 2020'!$A$4:$BV$300,74,0),"")</f>
        <v/>
      </c>
      <c r="L293" s="24" t="str">
        <f>IFERROR(VLOOKUP($H293,'[1]Actual &amp; PO  Analysis 2020'!$A$4:$CB$300,80,0),"")</f>
        <v/>
      </c>
      <c r="M293" s="24" t="str">
        <f>IFERROR(VLOOKUP($H293,'[1]Actual &amp; PO  Analysis 2020'!$A$4:$CH$300,86,0),"")</f>
        <v/>
      </c>
      <c r="N293" s="25">
        <v>0</v>
      </c>
    </row>
    <row r="294" spans="1:14" x14ac:dyDescent="0.25">
      <c r="A294" s="11" t="s">
        <v>266</v>
      </c>
      <c r="B294" s="17">
        <v>0</v>
      </c>
      <c r="C294" s="17">
        <v>3.6989999999999998</v>
      </c>
      <c r="D294" s="17">
        <v>4.1109999999999998</v>
      </c>
      <c r="E294" s="17">
        <v>0</v>
      </c>
      <c r="F294" s="17">
        <v>0.89</v>
      </c>
      <c r="G294" s="22">
        <f t="shared" si="4"/>
        <v>8.6999999999999993</v>
      </c>
      <c r="H294" s="11" t="s">
        <v>264</v>
      </c>
      <c r="I294" s="24" t="str">
        <f>IFERROR(VLOOKUP($H294,'[1]Actual &amp; PO  Analysis 2020'!$A$4:$BJ$300,62,0),"")</f>
        <v/>
      </c>
      <c r="J294" s="24" t="str">
        <f>IFERROR(VLOOKUP($H294,'[1]Actual &amp; PO  Analysis 2020'!$A$4:$BP$300,68,0),"")</f>
        <v/>
      </c>
      <c r="K294" s="24" t="str">
        <f>IFERROR(VLOOKUP($H294,'[1]Actual &amp; PO  Analysis 2020'!$A$4:$BV$300,74,0),"")</f>
        <v/>
      </c>
      <c r="L294" s="24" t="str">
        <f>IFERROR(VLOOKUP($H294,'[1]Actual &amp; PO  Analysis 2020'!$A$4:$CB$300,80,0),"")</f>
        <v/>
      </c>
      <c r="M294" s="24" t="str">
        <f>IFERROR(VLOOKUP($H294,'[1]Actual &amp; PO  Analysis 2020'!$A$4:$CH$300,86,0),"")</f>
        <v/>
      </c>
      <c r="N294" s="25">
        <v>0</v>
      </c>
    </row>
    <row r="295" spans="1:14" x14ac:dyDescent="0.25">
      <c r="A295" s="11" t="s">
        <v>244</v>
      </c>
      <c r="B295" s="17">
        <v>0</v>
      </c>
      <c r="C295" s="17">
        <v>3.1349999999999998</v>
      </c>
      <c r="D295" s="17">
        <v>4.3550000000000004</v>
      </c>
      <c r="E295" s="17">
        <v>0</v>
      </c>
      <c r="F295" s="17">
        <v>0.94299999999999995</v>
      </c>
      <c r="G295" s="22">
        <f t="shared" si="4"/>
        <v>8.4329999999999998</v>
      </c>
      <c r="H295" s="11" t="s">
        <v>265</v>
      </c>
      <c r="I295" s="24" t="str">
        <f>IFERROR(VLOOKUP($H295,'[1]Actual &amp; PO  Analysis 2020'!$A$4:$BJ$300,62,0),"")</f>
        <v/>
      </c>
      <c r="J295" s="24" t="str">
        <f>IFERROR(VLOOKUP($H295,'[1]Actual &amp; PO  Analysis 2020'!$A$4:$BP$300,68,0),"")</f>
        <v/>
      </c>
      <c r="K295" s="24" t="str">
        <f>IFERROR(VLOOKUP($H295,'[1]Actual &amp; PO  Analysis 2020'!$A$4:$BV$300,74,0),"")</f>
        <v/>
      </c>
      <c r="L295" s="24" t="str">
        <f>IFERROR(VLOOKUP($H295,'[1]Actual &amp; PO  Analysis 2020'!$A$4:$CB$300,80,0),"")</f>
        <v/>
      </c>
      <c r="M295" s="24" t="str">
        <f>IFERROR(VLOOKUP($H295,'[1]Actual &amp; PO  Analysis 2020'!$A$4:$CH$300,86,0),"")</f>
        <v/>
      </c>
      <c r="N295" s="25">
        <v>0</v>
      </c>
    </row>
    <row r="296" spans="1:14" x14ac:dyDescent="0.25">
      <c r="A296" s="11" t="s">
        <v>217</v>
      </c>
      <c r="B296" s="17">
        <v>0</v>
      </c>
      <c r="C296" s="17">
        <v>2.5979999999999999</v>
      </c>
      <c r="D296" s="17">
        <v>2.984</v>
      </c>
      <c r="E296" s="17">
        <v>0</v>
      </c>
      <c r="F296" s="17">
        <v>1.2989999999999999</v>
      </c>
      <c r="G296" s="22">
        <f t="shared" si="4"/>
        <v>6.8810000000000002</v>
      </c>
      <c r="H296" s="11" t="s">
        <v>265</v>
      </c>
      <c r="I296" s="24" t="str">
        <f>IFERROR(VLOOKUP($H296,'[1]Actual &amp; PO  Analysis 2020'!$A$4:$BJ$300,62,0),"")</f>
        <v/>
      </c>
      <c r="J296" s="24" t="str">
        <f>IFERROR(VLOOKUP($H296,'[1]Actual &amp; PO  Analysis 2020'!$A$4:$BP$300,68,0),"")</f>
        <v/>
      </c>
      <c r="K296" s="24" t="str">
        <f>IFERROR(VLOOKUP($H296,'[1]Actual &amp; PO  Analysis 2020'!$A$4:$BV$300,74,0),"")</f>
        <v/>
      </c>
      <c r="L296" s="24" t="str">
        <f>IFERROR(VLOOKUP($H296,'[1]Actual &amp; PO  Analysis 2020'!$A$4:$CB$300,80,0),"")</f>
        <v/>
      </c>
      <c r="M296" s="24" t="str">
        <f>IFERROR(VLOOKUP($H296,'[1]Actual &amp; PO  Analysis 2020'!$A$4:$CH$300,86,0),"")</f>
        <v/>
      </c>
      <c r="N296" s="25">
        <v>0</v>
      </c>
    </row>
    <row r="297" spans="1:14" x14ac:dyDescent="0.25">
      <c r="A297" s="11" t="s">
        <v>267</v>
      </c>
      <c r="B297" s="17">
        <v>0</v>
      </c>
      <c r="C297" s="17">
        <v>2.4500000000000002</v>
      </c>
      <c r="D297" s="17">
        <v>3</v>
      </c>
      <c r="E297" s="17">
        <v>0</v>
      </c>
      <c r="F297" s="17">
        <v>0.65</v>
      </c>
      <c r="G297" s="22">
        <f t="shared" si="4"/>
        <v>6.1000000000000005</v>
      </c>
      <c r="H297" s="11" t="s">
        <v>201</v>
      </c>
      <c r="I297" s="24" t="str">
        <f>IFERROR(VLOOKUP($H297,'[1]Actual &amp; PO  Analysis 2020'!$A$4:$BJ$300,62,0),"")</f>
        <v>0</v>
      </c>
      <c r="J297" s="24">
        <f>IFERROR(VLOOKUP($H297,'[1]Actual &amp; PO  Analysis 2020'!$A$4:$BP$300,68,0),"")</f>
        <v>1.1879999999999999</v>
      </c>
      <c r="K297" s="24">
        <f>IFERROR(VLOOKUP($H297,'[1]Actual &amp; PO  Analysis 2020'!$A$4:$BV$300,74,0),"")</f>
        <v>3.8610000000000002</v>
      </c>
      <c r="L297" s="24" t="str">
        <f>IFERROR(VLOOKUP($H297,'[1]Actual &amp; PO  Analysis 2020'!$A$4:$CB$300,80,0),"")</f>
        <v>0</v>
      </c>
      <c r="M297" s="24">
        <f>IFERROR(VLOOKUP($H297,'[1]Actual &amp; PO  Analysis 2020'!$A$4:$CH$300,86,0),"")</f>
        <v>2.7</v>
      </c>
      <c r="N297" s="25">
        <v>7.7490000000000006</v>
      </c>
    </row>
    <row r="298" spans="1:14" x14ac:dyDescent="0.25">
      <c r="A298" s="11" t="s">
        <v>245</v>
      </c>
      <c r="B298" s="17">
        <v>0</v>
      </c>
      <c r="C298" s="17">
        <v>2.4500000000000002</v>
      </c>
      <c r="D298" s="17">
        <v>3</v>
      </c>
      <c r="E298" s="17">
        <v>0</v>
      </c>
      <c r="F298" s="17">
        <v>0.65</v>
      </c>
      <c r="G298" s="22">
        <f t="shared" si="4"/>
        <v>6.1000000000000005</v>
      </c>
      <c r="H298" s="11" t="s">
        <v>266</v>
      </c>
      <c r="I298" s="24">
        <f>IFERROR(VLOOKUP($H298,'[1]Actual &amp; PO  Analysis 2020'!$A$4:$BJ$300,62,0),"")</f>
        <v>0</v>
      </c>
      <c r="J298" s="24">
        <f>IFERROR(VLOOKUP($H298,'[1]Actual &amp; PO  Analysis 2020'!$A$4:$BP$300,68,0),"")</f>
        <v>0</v>
      </c>
      <c r="K298" s="24">
        <f>IFERROR(VLOOKUP($H298,'[1]Actual &amp; PO  Analysis 2020'!$A$4:$BV$300,74,0),"")</f>
        <v>0</v>
      </c>
      <c r="L298" s="24">
        <f>IFERROR(VLOOKUP($H298,'[1]Actual &amp; PO  Analysis 2020'!$A$4:$CB$300,80,0),"")</f>
        <v>0</v>
      </c>
      <c r="M298" s="24">
        <f>IFERROR(VLOOKUP($H298,'[1]Actual &amp; PO  Analysis 2020'!$A$4:$CH$300,86,0),"")</f>
        <v>0</v>
      </c>
      <c r="N298" s="25">
        <v>0</v>
      </c>
    </row>
    <row r="299" spans="1:14" x14ac:dyDescent="0.25">
      <c r="A299" s="11" t="s">
        <v>341</v>
      </c>
      <c r="B299" s="17">
        <v>0</v>
      </c>
      <c r="C299" s="17">
        <v>2.08</v>
      </c>
      <c r="D299" s="17">
        <v>3</v>
      </c>
      <c r="E299" s="17">
        <v>0</v>
      </c>
      <c r="F299" s="17">
        <v>0.65</v>
      </c>
      <c r="G299" s="22">
        <f t="shared" si="4"/>
        <v>5.73</v>
      </c>
      <c r="H299" s="11" t="s">
        <v>244</v>
      </c>
      <c r="I299" s="24" t="str">
        <f>IFERROR(VLOOKUP($H299,'[1]Actual &amp; PO  Analysis 2020'!$A$4:$BJ$300,62,0),"")</f>
        <v>0</v>
      </c>
      <c r="J299" s="24">
        <f>IFERROR(VLOOKUP($H299,'[1]Actual &amp; PO  Analysis 2020'!$A$4:$BP$300,68,0),"")</f>
        <v>0.89100000000000001</v>
      </c>
      <c r="K299" s="24">
        <f>IFERROR(VLOOKUP($H299,'[1]Actual &amp; PO  Analysis 2020'!$A$4:$BV$300,74,0),"")</f>
        <v>4.01</v>
      </c>
      <c r="L299" s="24" t="str">
        <f>IFERROR(VLOOKUP($H299,'[1]Actual &amp; PO  Analysis 2020'!$A$4:$CB$300,80,0),"")</f>
        <v>0</v>
      </c>
      <c r="M299" s="24">
        <f>IFERROR(VLOOKUP($H299,'[1]Actual &amp; PO  Analysis 2020'!$A$4:$CH$300,86,0),"")</f>
        <v>1.05</v>
      </c>
      <c r="N299" s="25">
        <v>5.9509999999999996</v>
      </c>
    </row>
    <row r="300" spans="1:14" x14ac:dyDescent="0.25">
      <c r="A300" s="11" t="s">
        <v>355</v>
      </c>
      <c r="B300" s="17">
        <v>0</v>
      </c>
      <c r="C300" s="17">
        <v>3.387</v>
      </c>
      <c r="D300" s="17">
        <v>4.1479999999999997</v>
      </c>
      <c r="E300" s="17">
        <v>0</v>
      </c>
      <c r="F300" s="17">
        <v>0.89900000000000002</v>
      </c>
      <c r="G300" s="22">
        <f t="shared" si="4"/>
        <v>8.4340000000000011</v>
      </c>
      <c r="H300" s="11" t="s">
        <v>217</v>
      </c>
      <c r="I300" s="24" t="str">
        <f>IFERROR(VLOOKUP($H300,'[1]Actual &amp; PO  Analysis 2020'!$A$4:$BJ$300,62,0),"")</f>
        <v>0</v>
      </c>
      <c r="J300" s="24">
        <f>IFERROR(VLOOKUP($H300,'[1]Actual &amp; PO  Analysis 2020'!$A$4:$BP$300,68,0),"")</f>
        <v>1.4613333333333334</v>
      </c>
      <c r="K300" s="24">
        <f>IFERROR(VLOOKUP($H300,'[1]Actual &amp; PO  Analysis 2020'!$A$4:$BV$300,74,0),"")</f>
        <v>5.7949999999999999</v>
      </c>
      <c r="L300" s="24">
        <f>IFERROR(VLOOKUP($H300,'[1]Actual &amp; PO  Analysis 2020'!$A$4:$CB$300,80,0),"")</f>
        <v>0.17949999999999999</v>
      </c>
      <c r="M300" s="24">
        <f>IFERROR(VLOOKUP($H300,'[1]Actual &amp; PO  Analysis 2020'!$A$4:$CH$300,86,0),"")</f>
        <v>1.9020000000000001</v>
      </c>
      <c r="N300" s="25">
        <v>9.8734999999999999</v>
      </c>
    </row>
    <row r="301" spans="1:14" x14ac:dyDescent="0.25">
      <c r="A301" s="11" t="s">
        <v>268</v>
      </c>
      <c r="B301" s="17">
        <v>0</v>
      </c>
      <c r="C301" s="17">
        <v>1.93</v>
      </c>
      <c r="D301" s="17">
        <v>3</v>
      </c>
      <c r="E301" s="17">
        <v>0</v>
      </c>
      <c r="F301" s="17">
        <v>0.65</v>
      </c>
      <c r="G301" s="22">
        <f t="shared" si="4"/>
        <v>5.58</v>
      </c>
      <c r="H301" s="11" t="s">
        <v>267</v>
      </c>
      <c r="I301" s="24" t="str">
        <f>IFERROR(VLOOKUP($H301,'[1]Actual &amp; PO  Analysis 2020'!$A$4:$BJ$300,62,0),"")</f>
        <v>0</v>
      </c>
      <c r="J301" s="24">
        <f>IFERROR(VLOOKUP($H301,'[1]Actual &amp; PO  Analysis 2020'!$A$4:$BP$300,68,0),"")</f>
        <v>1.4039999999999999</v>
      </c>
      <c r="K301" s="24">
        <f>IFERROR(VLOOKUP($H301,'[1]Actual &amp; PO  Analysis 2020'!$A$4:$BV$300,74,0),"")</f>
        <v>8.9369999999999994</v>
      </c>
      <c r="L301" s="24">
        <f>IFERROR(VLOOKUP($H301,'[1]Actual &amp; PO  Analysis 2020'!$A$4:$CB$300,80,0),"")</f>
        <v>0.23300000000000001</v>
      </c>
      <c r="M301" s="24">
        <f>IFERROR(VLOOKUP($H301,'[1]Actual &amp; PO  Analysis 2020'!$A$4:$CH$300,86,0),"")</f>
        <v>1.2250000000000001</v>
      </c>
      <c r="N301" s="25">
        <v>12.927</v>
      </c>
    </row>
    <row r="302" spans="1:14" x14ac:dyDescent="0.25">
      <c r="A302" s="11" t="s">
        <v>268</v>
      </c>
      <c r="B302" s="17">
        <v>0</v>
      </c>
      <c r="C302" s="17">
        <v>1.93</v>
      </c>
      <c r="D302" s="17">
        <v>3</v>
      </c>
      <c r="E302" s="17">
        <v>0</v>
      </c>
      <c r="F302" s="17">
        <v>0.65</v>
      </c>
      <c r="G302" s="22">
        <f t="shared" si="4"/>
        <v>5.58</v>
      </c>
      <c r="H302" s="11" t="s">
        <v>245</v>
      </c>
      <c r="I302" s="24" t="str">
        <f>IFERROR(VLOOKUP($H302,'[1]Actual &amp; PO  Analysis 2020'!$A$4:$BJ$300,62,0),"")</f>
        <v/>
      </c>
      <c r="J302" s="24" t="str">
        <f>IFERROR(VLOOKUP($H302,'[1]Actual &amp; PO  Analysis 2020'!$A$4:$BP$300,68,0),"")</f>
        <v/>
      </c>
      <c r="K302" s="24" t="str">
        <f>IFERROR(VLOOKUP($H302,'[1]Actual &amp; PO  Analysis 2020'!$A$4:$BV$300,74,0),"")</f>
        <v/>
      </c>
      <c r="L302" s="24" t="str">
        <f>IFERROR(VLOOKUP($H302,'[1]Actual &amp; PO  Analysis 2020'!$A$4:$CB$300,80,0),"")</f>
        <v/>
      </c>
      <c r="M302" s="24" t="str">
        <f>IFERROR(VLOOKUP($H302,'[1]Actual &amp; PO  Analysis 2020'!$A$4:$CH$300,86,0),"")</f>
        <v/>
      </c>
      <c r="N302" s="25">
        <v>0</v>
      </c>
    </row>
    <row r="303" spans="1:14" x14ac:dyDescent="0.25">
      <c r="A303" s="11" t="s">
        <v>365</v>
      </c>
      <c r="B303" s="17">
        <v>0</v>
      </c>
      <c r="C303" s="17">
        <v>2.5960000000000001</v>
      </c>
      <c r="D303" s="17">
        <v>1.9970000000000001</v>
      </c>
      <c r="E303" s="17">
        <v>0</v>
      </c>
      <c r="F303" s="17">
        <v>0.433</v>
      </c>
      <c r="G303" s="22">
        <f t="shared" si="4"/>
        <v>5.0259999999999998</v>
      </c>
      <c r="H303" s="11" t="s">
        <v>341</v>
      </c>
      <c r="I303" s="24" t="str">
        <f>IFERROR(VLOOKUP($H303,'[1]Actual &amp; PO  Analysis 2020'!$A$4:$BJ$300,62,0),"")</f>
        <v>0</v>
      </c>
      <c r="J303" s="24">
        <f>IFERROR(VLOOKUP($H303,'[1]Actual &amp; PO  Analysis 2020'!$A$4:$BP$300,68,0),"")</f>
        <v>1.4850000000000001</v>
      </c>
      <c r="K303" s="24">
        <f>IFERROR(VLOOKUP($H303,'[1]Actual &amp; PO  Analysis 2020'!$A$4:$BV$300,74,0),"")</f>
        <v>8.4130000000000003</v>
      </c>
      <c r="L303" s="24">
        <f>IFERROR(VLOOKUP($H303,'[1]Actual &amp; PO  Analysis 2020'!$A$4:$CB$300,80,0),"")</f>
        <v>0.19</v>
      </c>
      <c r="M303" s="24">
        <f>IFERROR(VLOOKUP($H303,'[1]Actual &amp; PO  Analysis 2020'!$A$4:$CH$300,86,0),"")</f>
        <v>1.6333333333333335</v>
      </c>
      <c r="N303" s="25">
        <v>5.8360000000000003</v>
      </c>
    </row>
    <row r="304" spans="1:14" x14ac:dyDescent="0.25">
      <c r="A304" s="11" t="s">
        <v>222</v>
      </c>
      <c r="B304" s="17">
        <v>0</v>
      </c>
      <c r="C304" s="17">
        <v>2.5670000000000002</v>
      </c>
      <c r="D304" s="17">
        <v>3.5369999999999999</v>
      </c>
      <c r="E304" s="17">
        <v>0</v>
      </c>
      <c r="F304" s="17">
        <v>1.54</v>
      </c>
      <c r="G304" s="22">
        <f t="shared" si="4"/>
        <v>7.6440000000000001</v>
      </c>
      <c r="H304" s="11" t="s">
        <v>355</v>
      </c>
      <c r="I304" s="24" t="str">
        <f>IFERROR(VLOOKUP($H304,'[1]Actual &amp; PO  Analysis 2020'!$A$4:$BJ$300,62,0),"")</f>
        <v/>
      </c>
      <c r="J304" s="24" t="str">
        <f>IFERROR(VLOOKUP($H304,'[1]Actual &amp; PO  Analysis 2020'!$A$4:$BP$300,68,0),"")</f>
        <v/>
      </c>
      <c r="K304" s="24" t="str">
        <f>IFERROR(VLOOKUP($H304,'[1]Actual &amp; PO  Analysis 2020'!$A$4:$BV$300,74,0),"")</f>
        <v/>
      </c>
      <c r="L304" s="24" t="str">
        <f>IFERROR(VLOOKUP($H304,'[1]Actual &amp; PO  Analysis 2020'!$A$4:$CB$300,80,0),"")</f>
        <v/>
      </c>
      <c r="M304" s="24" t="str">
        <f>IFERROR(VLOOKUP($H304,'[1]Actual &amp; PO  Analysis 2020'!$A$4:$CH$300,86,0),"")</f>
        <v/>
      </c>
      <c r="N304" s="25">
        <v>0</v>
      </c>
    </row>
    <row r="305" spans="1:14" x14ac:dyDescent="0.25">
      <c r="A305" s="11" t="s">
        <v>269</v>
      </c>
      <c r="B305" s="17">
        <v>0</v>
      </c>
      <c r="C305" s="17">
        <v>3.77</v>
      </c>
      <c r="D305" s="17">
        <v>4.6180000000000003</v>
      </c>
      <c r="E305" s="17">
        <v>0</v>
      </c>
      <c r="F305" s="17">
        <v>1</v>
      </c>
      <c r="G305" s="22">
        <f t="shared" si="4"/>
        <v>9.3879999999999999</v>
      </c>
      <c r="H305" s="11" t="s">
        <v>268</v>
      </c>
      <c r="I305" s="24" t="str">
        <f>IFERROR(VLOOKUP($H305,'[1]Actual &amp; PO  Analysis 2020'!$A$4:$BJ$300,62,0),"")</f>
        <v>0</v>
      </c>
      <c r="J305" s="24">
        <f>IFERROR(VLOOKUP($H305,'[1]Actual &amp; PO  Analysis 2020'!$A$4:$BP$300,68,0),"")</f>
        <v>1.337</v>
      </c>
      <c r="K305" s="24">
        <f>IFERROR(VLOOKUP($H305,'[1]Actual &amp; PO  Analysis 2020'!$A$4:$BV$300,74,0),"")</f>
        <v>5.7919999999999998</v>
      </c>
      <c r="L305" s="24" t="str">
        <f>IFERROR(VLOOKUP($H305,'[1]Actual &amp; PO  Analysis 2020'!$A$4:$CB$300,80,0),"")</f>
        <v>0</v>
      </c>
      <c r="M305" s="24">
        <f>IFERROR(VLOOKUP($H305,'[1]Actual &amp; PO  Analysis 2020'!$A$4:$CH$300,86,0),"")</f>
        <v>2.75</v>
      </c>
      <c r="N305" s="25">
        <v>9.8789999999999996</v>
      </c>
    </row>
    <row r="306" spans="1:14" x14ac:dyDescent="0.25">
      <c r="A306" s="11" t="s">
        <v>270</v>
      </c>
      <c r="B306" s="17">
        <v>0</v>
      </c>
      <c r="C306" s="17">
        <v>3.5409999999999999</v>
      </c>
      <c r="D306" s="17">
        <v>5.1319999999999997</v>
      </c>
      <c r="E306" s="17">
        <v>0</v>
      </c>
      <c r="F306" s="17">
        <v>1.1120000000000001</v>
      </c>
      <c r="G306" s="22">
        <f t="shared" si="4"/>
        <v>9.7850000000000001</v>
      </c>
      <c r="H306" s="11" t="s">
        <v>268</v>
      </c>
      <c r="I306" s="24" t="str">
        <f>IFERROR(VLOOKUP($H306,'[1]Actual &amp; PO  Analysis 2020'!$A$4:$BJ$300,62,0),"")</f>
        <v>0</v>
      </c>
      <c r="J306" s="24">
        <f>IFERROR(VLOOKUP($H306,'[1]Actual &amp; PO  Analysis 2020'!$A$4:$BP$300,68,0),"")</f>
        <v>1.337</v>
      </c>
      <c r="K306" s="24">
        <f>IFERROR(VLOOKUP($H306,'[1]Actual &amp; PO  Analysis 2020'!$A$4:$BV$300,74,0),"")</f>
        <v>5.7919999999999998</v>
      </c>
      <c r="L306" s="24" t="str">
        <f>IFERROR(VLOOKUP($H306,'[1]Actual &amp; PO  Analysis 2020'!$A$4:$CB$300,80,0),"")</f>
        <v>0</v>
      </c>
      <c r="M306" s="24">
        <f>IFERROR(VLOOKUP($H306,'[1]Actual &amp; PO  Analysis 2020'!$A$4:$CH$300,86,0),"")</f>
        <v>2.75</v>
      </c>
      <c r="N306" s="25">
        <v>9.8789999999999996</v>
      </c>
    </row>
    <row r="307" spans="1:14" x14ac:dyDescent="0.25">
      <c r="A307" s="11" t="s">
        <v>321</v>
      </c>
      <c r="B307" s="17">
        <v>0</v>
      </c>
      <c r="C307" s="17">
        <v>4.09</v>
      </c>
      <c r="D307" s="17">
        <v>0.27</v>
      </c>
      <c r="E307" s="17">
        <v>0</v>
      </c>
      <c r="F307" s="17">
        <v>0.72</v>
      </c>
      <c r="G307" s="22">
        <f t="shared" si="4"/>
        <v>5.0799999999999992</v>
      </c>
      <c r="H307" s="11" t="s">
        <v>365</v>
      </c>
      <c r="I307" s="24" t="str">
        <f>IFERROR(VLOOKUP($H307,'[1]Actual &amp; PO  Analysis 2020'!$A$4:$BJ$300,62,0),"")</f>
        <v/>
      </c>
      <c r="J307" s="24" t="str">
        <f>IFERROR(VLOOKUP($H307,'[1]Actual &amp; PO  Analysis 2020'!$A$4:$BP$300,68,0),"")</f>
        <v/>
      </c>
      <c r="K307" s="24" t="str">
        <f>IFERROR(VLOOKUP($H307,'[1]Actual &amp; PO  Analysis 2020'!$A$4:$BV$300,74,0),"")</f>
        <v/>
      </c>
      <c r="L307" s="24" t="str">
        <f>IFERROR(VLOOKUP($H307,'[1]Actual &amp; PO  Analysis 2020'!$A$4:$CB$300,80,0),"")</f>
        <v/>
      </c>
      <c r="M307" s="24" t="str">
        <f>IFERROR(VLOOKUP($H307,'[1]Actual &amp; PO  Analysis 2020'!$A$4:$CH$300,86,0),"")</f>
        <v/>
      </c>
      <c r="N307" s="25">
        <v>0</v>
      </c>
    </row>
    <row r="308" spans="1:14" x14ac:dyDescent="0.25">
      <c r="A308" s="11" t="s">
        <v>323</v>
      </c>
      <c r="B308" s="17">
        <v>0</v>
      </c>
      <c r="C308" s="17">
        <v>4.91</v>
      </c>
      <c r="D308" s="17">
        <v>0.27</v>
      </c>
      <c r="E308" s="17">
        <v>0</v>
      </c>
      <c r="F308" s="17">
        <v>0.72</v>
      </c>
      <c r="G308" s="22">
        <f t="shared" si="4"/>
        <v>5.8999999999999995</v>
      </c>
      <c r="H308" s="11" t="s">
        <v>222</v>
      </c>
      <c r="I308" s="24" t="str">
        <f>IFERROR(VLOOKUP($H308,'[1]Actual &amp; PO  Analysis 2020'!$A$4:$BJ$300,62,0),"")</f>
        <v>0</v>
      </c>
      <c r="J308" s="24">
        <f>IFERROR(VLOOKUP($H308,'[1]Actual &amp; PO  Analysis 2020'!$A$4:$BP$300,68,0),"")</f>
        <v>1.244</v>
      </c>
      <c r="K308" s="24">
        <f>IFERROR(VLOOKUP($H308,'[1]Actual &amp; PO  Analysis 2020'!$A$4:$BV$300,74,0),"")</f>
        <v>5.4424999999999999</v>
      </c>
      <c r="L308" s="24">
        <f>IFERROR(VLOOKUP($H308,'[1]Actual &amp; PO  Analysis 2020'!$A$4:$CB$300,80,0),"")</f>
        <v>0.20050000000000001</v>
      </c>
      <c r="M308" s="24">
        <f>IFERROR(VLOOKUP($H308,'[1]Actual &amp; PO  Analysis 2020'!$A$4:$CH$300,86,0),"")</f>
        <v>1.534</v>
      </c>
      <c r="N308" s="25">
        <v>8.5020000000000007</v>
      </c>
    </row>
    <row r="309" spans="1:14" x14ac:dyDescent="0.25">
      <c r="A309" s="11" t="s">
        <v>397</v>
      </c>
      <c r="B309" s="17">
        <v>0</v>
      </c>
      <c r="C309" s="17">
        <v>5.1609999999999996</v>
      </c>
      <c r="D309" s="17">
        <v>0.27</v>
      </c>
      <c r="E309" s="17">
        <v>0</v>
      </c>
      <c r="F309" s="17">
        <v>0.72</v>
      </c>
      <c r="G309" s="22">
        <f t="shared" si="4"/>
        <v>6.1509999999999989</v>
      </c>
      <c r="H309" s="11" t="s">
        <v>269</v>
      </c>
      <c r="I309" s="24" t="str">
        <f>IFERROR(VLOOKUP($H309,'[1]Actual &amp; PO  Analysis 2020'!$A$4:$BJ$300,62,0),"")</f>
        <v>0</v>
      </c>
      <c r="J309" s="24">
        <f>IFERROR(VLOOKUP($H309,'[1]Actual &amp; PO  Analysis 2020'!$A$4:$BP$300,68,0),"")</f>
        <v>2.673</v>
      </c>
      <c r="K309" s="24">
        <f>IFERROR(VLOOKUP($H309,'[1]Actual &amp; PO  Analysis 2020'!$A$4:$BV$300,74,0),"")</f>
        <v>4.1580000000000004</v>
      </c>
      <c r="L309" s="24">
        <f>IFERROR(VLOOKUP($H309,'[1]Actual &amp; PO  Analysis 2020'!$A$4:$CB$300,80,0),"")</f>
        <v>0.16800000000000001</v>
      </c>
      <c r="M309" s="24">
        <f>IFERROR(VLOOKUP($H309,'[1]Actual &amp; PO  Analysis 2020'!$A$4:$CH$300,86,0),"")</f>
        <v>4.55</v>
      </c>
      <c r="N309" s="25">
        <v>11.548999999999999</v>
      </c>
    </row>
    <row r="310" spans="1:14" x14ac:dyDescent="0.25">
      <c r="A310" s="11" t="s">
        <v>218</v>
      </c>
      <c r="B310" s="17">
        <v>0</v>
      </c>
      <c r="C310" s="17">
        <v>3.6</v>
      </c>
      <c r="D310" s="17">
        <v>0.41</v>
      </c>
      <c r="E310" s="17">
        <v>0.2</v>
      </c>
      <c r="F310" s="17">
        <v>0.54</v>
      </c>
      <c r="G310" s="22">
        <f t="shared" si="4"/>
        <v>4.75</v>
      </c>
      <c r="H310" s="11" t="s">
        <v>270</v>
      </c>
      <c r="I310" s="24" t="str">
        <f>IFERROR(VLOOKUP($H310,'[1]Actual &amp; PO  Analysis 2020'!$A$4:$BJ$300,62,0),"")</f>
        <v/>
      </c>
      <c r="J310" s="24" t="str">
        <f>IFERROR(VLOOKUP($H310,'[1]Actual &amp; PO  Analysis 2020'!$A$4:$BP$300,68,0),"")</f>
        <v/>
      </c>
      <c r="K310" s="24" t="str">
        <f>IFERROR(VLOOKUP($H310,'[1]Actual &amp; PO  Analysis 2020'!$A$4:$BV$300,74,0),"")</f>
        <v/>
      </c>
      <c r="L310" s="24" t="str">
        <f>IFERROR(VLOOKUP($H310,'[1]Actual &amp; PO  Analysis 2020'!$A$4:$CB$300,80,0),"")</f>
        <v/>
      </c>
      <c r="M310" s="24" t="str">
        <f>IFERROR(VLOOKUP($H310,'[1]Actual &amp; PO  Analysis 2020'!$A$4:$CH$300,86,0),"")</f>
        <v/>
      </c>
      <c r="N310" s="25">
        <v>0</v>
      </c>
    </row>
    <row r="311" spans="1:14" x14ac:dyDescent="0.25">
      <c r="A311" s="11" t="s">
        <v>305</v>
      </c>
      <c r="B311" s="17">
        <v>0</v>
      </c>
      <c r="C311" s="17">
        <v>6.75</v>
      </c>
      <c r="D311" s="17">
        <v>0.27</v>
      </c>
      <c r="E311" s="17">
        <v>0</v>
      </c>
      <c r="F311" s="17">
        <v>0.72</v>
      </c>
      <c r="G311" s="22">
        <f t="shared" si="4"/>
        <v>7.7399999999999993</v>
      </c>
      <c r="H311" s="11" t="s">
        <v>321</v>
      </c>
      <c r="I311" s="24" t="str">
        <f>IFERROR(VLOOKUP($H311,'[1]Actual &amp; PO  Analysis 2020'!$A$4:$BJ$300,62,0),"")</f>
        <v/>
      </c>
      <c r="J311" s="24" t="str">
        <f>IFERROR(VLOOKUP($H311,'[1]Actual &amp; PO  Analysis 2020'!$A$4:$BP$300,68,0),"")</f>
        <v/>
      </c>
      <c r="K311" s="24" t="str">
        <f>IFERROR(VLOOKUP($H311,'[1]Actual &amp; PO  Analysis 2020'!$A$4:$BV$300,74,0),"")</f>
        <v/>
      </c>
      <c r="L311" s="24" t="str">
        <f>IFERROR(VLOOKUP($H311,'[1]Actual &amp; PO  Analysis 2020'!$A$4:$CB$300,80,0),"")</f>
        <v/>
      </c>
      <c r="M311" s="24" t="str">
        <f>IFERROR(VLOOKUP($H311,'[1]Actual &amp; PO  Analysis 2020'!$A$4:$CH$300,86,0),"")</f>
        <v/>
      </c>
      <c r="N311" s="25">
        <v>0</v>
      </c>
    </row>
    <row r="312" spans="1:14" x14ac:dyDescent="0.25">
      <c r="A312" s="11" t="s">
        <v>233</v>
      </c>
      <c r="B312" s="17">
        <v>0</v>
      </c>
      <c r="C312" s="17">
        <v>2.0499999999999998</v>
      </c>
      <c r="D312" s="17">
        <v>2.9000000000000004</v>
      </c>
      <c r="E312" s="17">
        <v>0.1</v>
      </c>
      <c r="F312" s="17">
        <v>1.18</v>
      </c>
      <c r="G312" s="22">
        <f t="shared" si="4"/>
        <v>6.2299999999999995</v>
      </c>
      <c r="H312" s="11" t="s">
        <v>323</v>
      </c>
      <c r="I312" s="24" t="str">
        <f>IFERROR(VLOOKUP($H312,'[1]Actual &amp; PO  Analysis 2020'!$A$4:$BJ$300,62,0),"")</f>
        <v/>
      </c>
      <c r="J312" s="24" t="str">
        <f>IFERROR(VLOOKUP($H312,'[1]Actual &amp; PO  Analysis 2020'!$A$4:$BP$300,68,0),"")</f>
        <v/>
      </c>
      <c r="K312" s="24" t="str">
        <f>IFERROR(VLOOKUP($H312,'[1]Actual &amp; PO  Analysis 2020'!$A$4:$BV$300,74,0),"")</f>
        <v/>
      </c>
      <c r="L312" s="24" t="str">
        <f>IFERROR(VLOOKUP($H312,'[1]Actual &amp; PO  Analysis 2020'!$A$4:$CB$300,80,0),"")</f>
        <v/>
      </c>
      <c r="M312" s="24" t="str">
        <f>IFERROR(VLOOKUP($H312,'[1]Actual &amp; PO  Analysis 2020'!$A$4:$CH$300,86,0),"")</f>
        <v/>
      </c>
      <c r="N312" s="25">
        <v>0</v>
      </c>
    </row>
    <row r="313" spans="1:14" x14ac:dyDescent="0.25">
      <c r="A313" s="11" t="s">
        <v>139</v>
      </c>
      <c r="B313" s="17">
        <v>0</v>
      </c>
      <c r="C313" s="17">
        <v>2.1800000000000002</v>
      </c>
      <c r="D313" s="17">
        <v>2.69</v>
      </c>
      <c r="E313" s="17">
        <v>0.1</v>
      </c>
      <c r="F313" s="17">
        <v>0.86</v>
      </c>
      <c r="G313" s="22">
        <f t="shared" si="4"/>
        <v>5.83</v>
      </c>
      <c r="H313" s="11" t="s">
        <v>397</v>
      </c>
      <c r="I313" s="24" t="str">
        <f>IFERROR(VLOOKUP($H313,'[1]Actual &amp; PO  Analysis 2020'!$A$4:$BJ$300,62,0),"")</f>
        <v/>
      </c>
      <c r="J313" s="24" t="str">
        <f>IFERROR(VLOOKUP($H313,'[1]Actual &amp; PO  Analysis 2020'!$A$4:$BP$300,68,0),"")</f>
        <v/>
      </c>
      <c r="K313" s="24" t="str">
        <f>IFERROR(VLOOKUP($H313,'[1]Actual &amp; PO  Analysis 2020'!$A$4:$BV$300,74,0),"")</f>
        <v/>
      </c>
      <c r="L313" s="24" t="str">
        <f>IFERROR(VLOOKUP($H313,'[1]Actual &amp; PO  Analysis 2020'!$A$4:$CB$300,80,0),"")</f>
        <v/>
      </c>
      <c r="M313" s="24" t="str">
        <f>IFERROR(VLOOKUP($H313,'[1]Actual &amp; PO  Analysis 2020'!$A$4:$CH$300,86,0),"")</f>
        <v/>
      </c>
      <c r="N313" s="25">
        <v>0</v>
      </c>
    </row>
    <row r="314" spans="1:14" x14ac:dyDescent="0.25">
      <c r="A314" s="11" t="s">
        <v>138</v>
      </c>
      <c r="B314" s="17">
        <v>0</v>
      </c>
      <c r="C314" s="17">
        <v>1.238</v>
      </c>
      <c r="D314" s="17">
        <v>2.8879999999999999</v>
      </c>
      <c r="E314" s="17">
        <v>0.10299999999999999</v>
      </c>
      <c r="F314" s="17">
        <v>0.88700000000000001</v>
      </c>
      <c r="G314" s="22">
        <f t="shared" si="4"/>
        <v>5.1159999999999997</v>
      </c>
      <c r="H314" s="11" t="s">
        <v>218</v>
      </c>
      <c r="I314" s="24" t="str">
        <f>IFERROR(VLOOKUP($H314,'[1]Actual &amp; PO  Analysis 2020'!$A$4:$BJ$300,62,0),"")</f>
        <v/>
      </c>
      <c r="J314" s="24" t="str">
        <f>IFERROR(VLOOKUP($H314,'[1]Actual &amp; PO  Analysis 2020'!$A$4:$BP$300,68,0),"")</f>
        <v/>
      </c>
      <c r="K314" s="24" t="str">
        <f>IFERROR(VLOOKUP($H314,'[1]Actual &amp; PO  Analysis 2020'!$A$4:$BV$300,74,0),"")</f>
        <v/>
      </c>
      <c r="L314" s="24" t="str">
        <f>IFERROR(VLOOKUP($H314,'[1]Actual &amp; PO  Analysis 2020'!$A$4:$CB$300,80,0),"")</f>
        <v/>
      </c>
      <c r="M314" s="24" t="str">
        <f>IFERROR(VLOOKUP($H314,'[1]Actual &amp; PO  Analysis 2020'!$A$4:$CH$300,86,0),"")</f>
        <v/>
      </c>
      <c r="N314" s="25">
        <v>0</v>
      </c>
    </row>
    <row r="315" spans="1:14" x14ac:dyDescent="0.25">
      <c r="A315" s="11" t="s">
        <v>253</v>
      </c>
      <c r="B315" s="17">
        <v>0</v>
      </c>
      <c r="C315" s="17">
        <v>0</v>
      </c>
      <c r="D315" s="17">
        <v>0</v>
      </c>
      <c r="E315" s="17">
        <v>0</v>
      </c>
      <c r="F315" s="17">
        <v>0</v>
      </c>
      <c r="G315" s="22">
        <f t="shared" si="4"/>
        <v>0</v>
      </c>
      <c r="H315" s="11" t="s">
        <v>305</v>
      </c>
      <c r="I315" s="24" t="str">
        <f>IFERROR(VLOOKUP($H315,'[1]Actual &amp; PO  Analysis 2020'!$A$4:$BJ$300,62,0),"")</f>
        <v/>
      </c>
      <c r="J315" s="24" t="str">
        <f>IFERROR(VLOOKUP($H315,'[1]Actual &amp; PO  Analysis 2020'!$A$4:$BP$300,68,0),"")</f>
        <v/>
      </c>
      <c r="K315" s="24" t="str">
        <f>IFERROR(VLOOKUP($H315,'[1]Actual &amp; PO  Analysis 2020'!$A$4:$BV$300,74,0),"")</f>
        <v/>
      </c>
      <c r="L315" s="24" t="str">
        <f>IFERROR(VLOOKUP($H315,'[1]Actual &amp; PO  Analysis 2020'!$A$4:$CB$300,80,0),"")</f>
        <v/>
      </c>
      <c r="M315" s="24" t="str">
        <f>IFERROR(VLOOKUP($H315,'[1]Actual &amp; PO  Analysis 2020'!$A$4:$CH$300,86,0),"")</f>
        <v/>
      </c>
      <c r="N315" s="25">
        <v>0</v>
      </c>
    </row>
    <row r="316" spans="1:14" x14ac:dyDescent="0.25">
      <c r="A316" s="11" t="s">
        <v>158</v>
      </c>
      <c r="B316" s="17">
        <v>0</v>
      </c>
      <c r="C316" s="17">
        <v>14.698</v>
      </c>
      <c r="D316" s="17">
        <v>9.9959999999999987</v>
      </c>
      <c r="E316" s="17">
        <v>0.14199999999999999</v>
      </c>
      <c r="F316" s="17">
        <v>1.6850000000000001</v>
      </c>
      <c r="G316" s="22">
        <f t="shared" si="4"/>
        <v>26.520999999999997</v>
      </c>
      <c r="H316" s="11" t="s">
        <v>233</v>
      </c>
      <c r="I316" s="24" t="str">
        <f>IFERROR(VLOOKUP($H316,'[1]Actual &amp; PO  Analysis 2020'!$A$4:$BJ$300,62,0),"")</f>
        <v>0</v>
      </c>
      <c r="J316" s="24">
        <f>IFERROR(VLOOKUP($H316,'[1]Actual &amp; PO  Analysis 2020'!$A$4:$BP$300,68,0),"")</f>
        <v>4.2389999999999999</v>
      </c>
      <c r="K316" s="24">
        <f>IFERROR(VLOOKUP($H316,'[1]Actual &amp; PO  Analysis 2020'!$A$4:$BV$300,74,0),"")</f>
        <v>4.6619999999999999</v>
      </c>
      <c r="L316" s="24">
        <f>IFERROR(VLOOKUP($H316,'[1]Actual &amp; PO  Analysis 2020'!$A$4:$CB$300,80,0),"")</f>
        <v>0.219</v>
      </c>
      <c r="M316" s="24">
        <f>IFERROR(VLOOKUP($H316,'[1]Actual &amp; PO  Analysis 2020'!$A$4:$CH$300,86,0),"")</f>
        <v>1.5509999999999999</v>
      </c>
      <c r="N316" s="25">
        <v>0</v>
      </c>
    </row>
    <row r="317" spans="1:14" x14ac:dyDescent="0.25">
      <c r="A317" s="11" t="s">
        <v>159</v>
      </c>
      <c r="B317" s="17">
        <v>0</v>
      </c>
      <c r="C317" s="17">
        <v>3.8940000000000001</v>
      </c>
      <c r="D317" s="17">
        <v>5.8010000000000002</v>
      </c>
      <c r="E317" s="17">
        <v>0.159</v>
      </c>
      <c r="F317" s="17">
        <v>2.1459999999999999</v>
      </c>
      <c r="G317" s="22">
        <f t="shared" si="4"/>
        <v>12</v>
      </c>
      <c r="H317" s="11" t="s">
        <v>139</v>
      </c>
      <c r="I317" s="24" t="str">
        <f>IFERROR(VLOOKUP($H317,'[1]Actual &amp; PO  Analysis 2020'!$A$4:$BJ$300,62,0),"")</f>
        <v/>
      </c>
      <c r="J317" s="24" t="str">
        <f>IFERROR(VLOOKUP($H317,'[1]Actual &amp; PO  Analysis 2020'!$A$4:$BP$300,68,0),"")</f>
        <v/>
      </c>
      <c r="K317" s="24" t="str">
        <f>IFERROR(VLOOKUP($H317,'[1]Actual &amp; PO  Analysis 2020'!$A$4:$BV$300,74,0),"")</f>
        <v/>
      </c>
      <c r="L317" s="24" t="str">
        <f>IFERROR(VLOOKUP($H317,'[1]Actual &amp; PO  Analysis 2020'!$A$4:$CB$300,80,0),"")</f>
        <v/>
      </c>
      <c r="M317" s="24" t="str">
        <f>IFERROR(VLOOKUP($H317,'[1]Actual &amp; PO  Analysis 2020'!$A$4:$CH$300,86,0),"")</f>
        <v/>
      </c>
      <c r="N317" s="25">
        <v>0</v>
      </c>
    </row>
    <row r="318" spans="1:14" x14ac:dyDescent="0.25">
      <c r="A318" s="11" t="s">
        <v>159</v>
      </c>
      <c r="B318" s="17">
        <v>0</v>
      </c>
      <c r="C318" s="17">
        <v>3.8940000000000001</v>
      </c>
      <c r="D318" s="17">
        <v>5.8010000000000002</v>
      </c>
      <c r="E318" s="17">
        <v>0.159</v>
      </c>
      <c r="F318" s="17">
        <v>2.1459999999999999</v>
      </c>
      <c r="G318" s="22">
        <f t="shared" si="4"/>
        <v>12</v>
      </c>
      <c r="H318" s="11" t="s">
        <v>138</v>
      </c>
      <c r="I318" s="24" t="str">
        <f>IFERROR(VLOOKUP($H318,'[1]Actual &amp; PO  Analysis 2020'!$A$4:$BJ$300,62,0),"")</f>
        <v>0</v>
      </c>
      <c r="J318" s="24">
        <f>IFERROR(VLOOKUP($H318,'[1]Actual &amp; PO  Analysis 2020'!$A$4:$BP$300,68,0),"")</f>
        <v>0.73599999999999999</v>
      </c>
      <c r="K318" s="24">
        <f>IFERROR(VLOOKUP($H318,'[1]Actual &amp; PO  Analysis 2020'!$A$4:$BV$300,74,0),"")</f>
        <v>4.452</v>
      </c>
      <c r="L318" s="24">
        <f>IFERROR(VLOOKUP($H318,'[1]Actual &amp; PO  Analysis 2020'!$A$4:$CB$300,80,0),"")</f>
        <v>0.19700000000000001</v>
      </c>
      <c r="M318" s="24">
        <f>IFERROR(VLOOKUP($H318,'[1]Actual &amp; PO  Analysis 2020'!$A$4:$CH$300,86,0),"")</f>
        <v>1.085</v>
      </c>
      <c r="N318" s="25">
        <v>0</v>
      </c>
    </row>
    <row r="319" spans="1:14" x14ac:dyDescent="0.25">
      <c r="A319" s="11" t="s">
        <v>275</v>
      </c>
      <c r="B319" s="17">
        <v>0</v>
      </c>
      <c r="C319" s="17">
        <v>0</v>
      </c>
      <c r="D319" s="17">
        <v>0</v>
      </c>
      <c r="E319" s="17">
        <v>0</v>
      </c>
      <c r="F319" s="17">
        <v>0</v>
      </c>
      <c r="G319" s="22">
        <f t="shared" si="4"/>
        <v>0</v>
      </c>
      <c r="H319" s="11" t="s">
        <v>253</v>
      </c>
      <c r="I319" s="24" t="str">
        <f>IFERROR(VLOOKUP($H319,'[1]Actual &amp; PO  Analysis 2020'!$A$4:$BJ$300,62,0),"")</f>
        <v/>
      </c>
      <c r="J319" s="24" t="str">
        <f>IFERROR(VLOOKUP($H319,'[1]Actual &amp; PO  Analysis 2020'!$A$4:$BP$300,68,0),"")</f>
        <v/>
      </c>
      <c r="K319" s="24" t="str">
        <f>IFERROR(VLOOKUP($H319,'[1]Actual &amp; PO  Analysis 2020'!$A$4:$BV$300,74,0),"")</f>
        <v/>
      </c>
      <c r="L319" s="24" t="str">
        <f>IFERROR(VLOOKUP($H319,'[1]Actual &amp; PO  Analysis 2020'!$A$4:$CB$300,80,0),"")</f>
        <v/>
      </c>
      <c r="M319" s="24" t="str">
        <f>IFERROR(VLOOKUP($H319,'[1]Actual &amp; PO  Analysis 2020'!$A$4:$CH$300,86,0),"")</f>
        <v/>
      </c>
      <c r="N319" s="25">
        <v>0</v>
      </c>
    </row>
    <row r="320" spans="1:14" x14ac:dyDescent="0.25">
      <c r="A320" s="11" t="s">
        <v>54</v>
      </c>
      <c r="B320" s="17">
        <v>0</v>
      </c>
      <c r="C320" s="17">
        <v>1.5229999999999999</v>
      </c>
      <c r="D320" s="17">
        <v>1.6659999999999999</v>
      </c>
      <c r="E320" s="17">
        <v>6.6000000000000003E-2</v>
      </c>
      <c r="F320" s="17">
        <v>0.40699999999999997</v>
      </c>
      <c r="G320" s="22">
        <f t="shared" si="4"/>
        <v>3.6619999999999999</v>
      </c>
      <c r="H320" s="11" t="s">
        <v>158</v>
      </c>
      <c r="I320" s="24" t="str">
        <f>IFERROR(VLOOKUP($H320,'[1]Actual &amp; PO  Analysis 2020'!$A$4:$BJ$300,62,0),"")</f>
        <v/>
      </c>
      <c r="J320" s="24" t="str">
        <f>IFERROR(VLOOKUP($H320,'[1]Actual &amp; PO  Analysis 2020'!$A$4:$BP$300,68,0),"")</f>
        <v/>
      </c>
      <c r="K320" s="24" t="str">
        <f>IFERROR(VLOOKUP($H320,'[1]Actual &amp; PO  Analysis 2020'!$A$4:$BV$300,74,0),"")</f>
        <v/>
      </c>
      <c r="L320" s="24" t="str">
        <f>IFERROR(VLOOKUP($H320,'[1]Actual &amp; PO  Analysis 2020'!$A$4:$CB$300,80,0),"")</f>
        <v/>
      </c>
      <c r="M320" s="24" t="str">
        <f>IFERROR(VLOOKUP($H320,'[1]Actual &amp; PO  Analysis 2020'!$A$4:$CH$300,86,0),"")</f>
        <v/>
      </c>
      <c r="N320" s="25">
        <v>0</v>
      </c>
    </row>
    <row r="321" spans="1:14" x14ac:dyDescent="0.25">
      <c r="A321" s="11" t="s">
        <v>55</v>
      </c>
      <c r="B321" s="17">
        <v>0</v>
      </c>
      <c r="C321" s="17">
        <v>2.3199999999999998</v>
      </c>
      <c r="D321" s="17">
        <v>2.54</v>
      </c>
      <c r="E321" s="17">
        <v>0.1</v>
      </c>
      <c r="F321" s="17">
        <v>0.62</v>
      </c>
      <c r="G321" s="22">
        <f t="shared" si="4"/>
        <v>5.5799999999999992</v>
      </c>
      <c r="H321" s="11" t="s">
        <v>159</v>
      </c>
      <c r="I321" s="24" t="str">
        <f>IFERROR(VLOOKUP($H321,'[1]Actual &amp; PO  Analysis 2020'!$A$4:$BJ$300,62,0),"")</f>
        <v>0</v>
      </c>
      <c r="J321" s="24">
        <f>IFERROR(VLOOKUP($H321,'[1]Actual &amp; PO  Analysis 2020'!$A$4:$BP$300,68,0),"")</f>
        <v>2.0186666666666668</v>
      </c>
      <c r="K321" s="24">
        <f>IFERROR(VLOOKUP($H321,'[1]Actual &amp; PO  Analysis 2020'!$A$4:$BV$300,74,0),"")</f>
        <v>2.5073333333333334</v>
      </c>
      <c r="L321" s="24">
        <f>IFERROR(VLOOKUP($H321,'[1]Actual &amp; PO  Analysis 2020'!$A$4:$CB$300,80,0),"")</f>
        <v>0.17633333333333334</v>
      </c>
      <c r="M321" s="24">
        <f>IFERROR(VLOOKUP($H321,'[1]Actual &amp; PO  Analysis 2020'!$A$4:$CH$300,86,0),"")</f>
        <v>2.1826666666666665</v>
      </c>
      <c r="N321" s="25">
        <v>7.0785</v>
      </c>
    </row>
    <row r="322" spans="1:14" x14ac:dyDescent="0.25">
      <c r="A322" s="11" t="s">
        <v>418</v>
      </c>
      <c r="B322" s="17">
        <v>0</v>
      </c>
      <c r="C322" s="17">
        <v>0</v>
      </c>
      <c r="D322" s="17">
        <v>0</v>
      </c>
      <c r="E322" s="17">
        <v>0</v>
      </c>
      <c r="F322" s="17">
        <v>0</v>
      </c>
      <c r="G322" s="22">
        <f t="shared" ref="G322:G385" si="5">SUM(B322:F322)</f>
        <v>0</v>
      </c>
      <c r="H322" s="11" t="s">
        <v>159</v>
      </c>
      <c r="I322" s="24" t="str">
        <f>IFERROR(VLOOKUP($H322,'[1]Actual &amp; PO  Analysis 2020'!$A$4:$BJ$300,62,0),"")</f>
        <v>0</v>
      </c>
      <c r="J322" s="24">
        <f>IFERROR(VLOOKUP($H322,'[1]Actual &amp; PO  Analysis 2020'!$A$4:$BP$300,68,0),"")</f>
        <v>2.0186666666666668</v>
      </c>
      <c r="K322" s="24">
        <f>IFERROR(VLOOKUP($H322,'[1]Actual &amp; PO  Analysis 2020'!$A$4:$BV$300,74,0),"")</f>
        <v>2.5073333333333334</v>
      </c>
      <c r="L322" s="24">
        <f>IFERROR(VLOOKUP($H322,'[1]Actual &amp; PO  Analysis 2020'!$A$4:$CB$300,80,0),"")</f>
        <v>0.17633333333333334</v>
      </c>
      <c r="M322" s="24">
        <f>IFERROR(VLOOKUP($H322,'[1]Actual &amp; PO  Analysis 2020'!$A$4:$CH$300,86,0),"")</f>
        <v>2.1826666666666665</v>
      </c>
      <c r="N322" s="25">
        <v>7.0785</v>
      </c>
    </row>
    <row r="323" spans="1:14" x14ac:dyDescent="0.25">
      <c r="A323" s="11" t="s">
        <v>250</v>
      </c>
      <c r="B323" s="17">
        <v>0</v>
      </c>
      <c r="C323" s="17">
        <v>2.7</v>
      </c>
      <c r="D323" s="17">
        <v>3.23</v>
      </c>
      <c r="E323" s="17">
        <v>0.1</v>
      </c>
      <c r="F323" s="17">
        <v>1.35</v>
      </c>
      <c r="G323" s="22">
        <f t="shared" si="5"/>
        <v>7.379999999999999</v>
      </c>
      <c r="H323" s="11" t="s">
        <v>275</v>
      </c>
      <c r="I323" s="24" t="str">
        <f>IFERROR(VLOOKUP($H323,'[1]Actual &amp; PO  Analysis 2020'!$A$4:$BJ$300,62,0),"")</f>
        <v/>
      </c>
      <c r="J323" s="24" t="str">
        <f>IFERROR(VLOOKUP($H323,'[1]Actual &amp; PO  Analysis 2020'!$A$4:$BP$300,68,0),"")</f>
        <v/>
      </c>
      <c r="K323" s="24" t="str">
        <f>IFERROR(VLOOKUP($H323,'[1]Actual &amp; PO  Analysis 2020'!$A$4:$BV$300,74,0),"")</f>
        <v/>
      </c>
      <c r="L323" s="24" t="str">
        <f>IFERROR(VLOOKUP($H323,'[1]Actual &amp; PO  Analysis 2020'!$A$4:$CB$300,80,0),"")</f>
        <v/>
      </c>
      <c r="M323" s="24" t="str">
        <f>IFERROR(VLOOKUP($H323,'[1]Actual &amp; PO  Analysis 2020'!$A$4:$CH$300,86,0),"")</f>
        <v/>
      </c>
      <c r="N323" s="25">
        <v>0</v>
      </c>
    </row>
    <row r="324" spans="1:14" x14ac:dyDescent="0.25">
      <c r="A324" s="11" t="s">
        <v>250</v>
      </c>
      <c r="B324" s="17">
        <v>0</v>
      </c>
      <c r="C324" s="17">
        <v>2.7</v>
      </c>
      <c r="D324" s="17">
        <v>3.23</v>
      </c>
      <c r="E324" s="17">
        <v>0.1</v>
      </c>
      <c r="F324" s="17">
        <v>1.35</v>
      </c>
      <c r="G324" s="22">
        <f t="shared" si="5"/>
        <v>7.379999999999999</v>
      </c>
      <c r="H324" s="11" t="s">
        <v>54</v>
      </c>
      <c r="I324" s="24" t="str">
        <f>IFERROR(VLOOKUP($H324,'[1]Actual &amp; PO  Analysis 2020'!$A$4:$BJ$300,62,0),"")</f>
        <v/>
      </c>
      <c r="J324" s="24" t="str">
        <f>IFERROR(VLOOKUP($H324,'[1]Actual &amp; PO  Analysis 2020'!$A$4:$BP$300,68,0),"")</f>
        <v/>
      </c>
      <c r="K324" s="24" t="str">
        <f>IFERROR(VLOOKUP($H324,'[1]Actual &amp; PO  Analysis 2020'!$A$4:$BV$300,74,0),"")</f>
        <v/>
      </c>
      <c r="L324" s="24" t="str">
        <f>IFERROR(VLOOKUP($H324,'[1]Actual &amp; PO  Analysis 2020'!$A$4:$CB$300,80,0),"")</f>
        <v/>
      </c>
      <c r="M324" s="24" t="str">
        <f>IFERROR(VLOOKUP($H324,'[1]Actual &amp; PO  Analysis 2020'!$A$4:$CH$300,86,0),"")</f>
        <v/>
      </c>
      <c r="N324" s="25">
        <v>0</v>
      </c>
    </row>
    <row r="325" spans="1:14" x14ac:dyDescent="0.25">
      <c r="A325" s="11" t="s">
        <v>225</v>
      </c>
      <c r="B325" s="17">
        <v>0</v>
      </c>
      <c r="C325" s="17">
        <v>2.5299999999999998</v>
      </c>
      <c r="D325" s="17">
        <v>3.67</v>
      </c>
      <c r="E325" s="17">
        <v>0.1</v>
      </c>
      <c r="F325" s="17">
        <v>1.35</v>
      </c>
      <c r="G325" s="22">
        <f t="shared" si="5"/>
        <v>7.6499999999999986</v>
      </c>
      <c r="H325" s="11" t="s">
        <v>55</v>
      </c>
      <c r="I325" s="24" t="str">
        <f>IFERROR(VLOOKUP($H325,'[1]Actual &amp; PO  Analysis 2020'!$A$4:$BJ$300,62,0),"")</f>
        <v/>
      </c>
      <c r="J325" s="24" t="str">
        <f>IFERROR(VLOOKUP($H325,'[1]Actual &amp; PO  Analysis 2020'!$A$4:$BP$300,68,0),"")</f>
        <v/>
      </c>
      <c r="K325" s="24" t="str">
        <f>IFERROR(VLOOKUP($H325,'[1]Actual &amp; PO  Analysis 2020'!$A$4:$BV$300,74,0),"")</f>
        <v/>
      </c>
      <c r="L325" s="24" t="str">
        <f>IFERROR(VLOOKUP($H325,'[1]Actual &amp; PO  Analysis 2020'!$A$4:$CB$300,80,0),"")</f>
        <v/>
      </c>
      <c r="M325" s="24" t="str">
        <f>IFERROR(VLOOKUP($H325,'[1]Actual &amp; PO  Analysis 2020'!$A$4:$CH$300,86,0),"")</f>
        <v/>
      </c>
      <c r="N325" s="25">
        <v>0</v>
      </c>
    </row>
    <row r="326" spans="1:14" x14ac:dyDescent="0.25">
      <c r="A326" s="11" t="s">
        <v>210</v>
      </c>
      <c r="B326" s="17">
        <v>0</v>
      </c>
      <c r="C326" s="17">
        <v>14.1</v>
      </c>
      <c r="D326" s="17">
        <v>10.137</v>
      </c>
      <c r="E326" s="17">
        <v>0.14399999999999999</v>
      </c>
      <c r="F326" s="17">
        <v>1.7090000000000001</v>
      </c>
      <c r="G326" s="22">
        <f t="shared" si="5"/>
        <v>26.09</v>
      </c>
      <c r="H326" s="11" t="s">
        <v>418</v>
      </c>
      <c r="I326" s="24" t="str">
        <f>IFERROR(VLOOKUP($H326,'[1]Actual &amp; PO  Analysis 2020'!$A$4:$BJ$300,62,0),"")</f>
        <v/>
      </c>
      <c r="J326" s="24" t="str">
        <f>IFERROR(VLOOKUP($H326,'[1]Actual &amp; PO  Analysis 2020'!$A$4:$BP$300,68,0),"")</f>
        <v/>
      </c>
      <c r="K326" s="24" t="str">
        <f>IFERROR(VLOOKUP($H326,'[1]Actual &amp; PO  Analysis 2020'!$A$4:$BV$300,74,0),"")</f>
        <v/>
      </c>
      <c r="L326" s="24" t="str">
        <f>IFERROR(VLOOKUP($H326,'[1]Actual &amp; PO  Analysis 2020'!$A$4:$CB$300,80,0),"")</f>
        <v/>
      </c>
      <c r="M326" s="24" t="str">
        <f>IFERROR(VLOOKUP($H326,'[1]Actual &amp; PO  Analysis 2020'!$A$4:$CH$300,86,0),"")</f>
        <v/>
      </c>
      <c r="N326" s="25">
        <v>0</v>
      </c>
    </row>
    <row r="327" spans="1:14" x14ac:dyDescent="0.25">
      <c r="A327" s="11" t="s">
        <v>342</v>
      </c>
      <c r="B327" s="17">
        <v>0</v>
      </c>
      <c r="C327" s="17">
        <v>1.95</v>
      </c>
      <c r="D327" s="17">
        <v>2.282</v>
      </c>
      <c r="E327" s="17">
        <v>3.9E-2</v>
      </c>
      <c r="F327" s="17">
        <v>0.72899999999999998</v>
      </c>
      <c r="G327" s="22">
        <f t="shared" si="5"/>
        <v>5</v>
      </c>
      <c r="H327" s="11" t="s">
        <v>250</v>
      </c>
      <c r="I327" s="24" t="str">
        <f>IFERROR(VLOOKUP($H327,'[1]Actual &amp; PO  Analysis 2020'!$A$4:$BJ$300,62,0),"")</f>
        <v/>
      </c>
      <c r="J327" s="24" t="str">
        <f>IFERROR(VLOOKUP($H327,'[1]Actual &amp; PO  Analysis 2020'!$A$4:$BP$300,68,0),"")</f>
        <v/>
      </c>
      <c r="K327" s="24" t="str">
        <f>IFERROR(VLOOKUP($H327,'[1]Actual &amp; PO  Analysis 2020'!$A$4:$BV$300,74,0),"")</f>
        <v/>
      </c>
      <c r="L327" s="24" t="str">
        <f>IFERROR(VLOOKUP($H327,'[1]Actual &amp; PO  Analysis 2020'!$A$4:$CB$300,80,0),"")</f>
        <v/>
      </c>
      <c r="M327" s="24" t="str">
        <f>IFERROR(VLOOKUP($H327,'[1]Actual &amp; PO  Analysis 2020'!$A$4:$CH$300,86,0),"")</f>
        <v/>
      </c>
      <c r="N327" s="25">
        <v>0</v>
      </c>
    </row>
    <row r="328" spans="1:14" x14ac:dyDescent="0.25">
      <c r="A328" s="11" t="s">
        <v>156</v>
      </c>
      <c r="B328" s="17">
        <v>0</v>
      </c>
      <c r="C328" s="17">
        <v>4.5189999999999992</v>
      </c>
      <c r="D328" s="17">
        <v>2.6989999999999998</v>
      </c>
      <c r="E328" s="17">
        <v>0.11899999999999999</v>
      </c>
      <c r="F328" s="17">
        <v>1.1459999999999999</v>
      </c>
      <c r="G328" s="22">
        <f t="shared" si="5"/>
        <v>8.4829999999999988</v>
      </c>
      <c r="H328" s="11" t="s">
        <v>250</v>
      </c>
      <c r="I328" s="24" t="str">
        <f>IFERROR(VLOOKUP($H328,'[1]Actual &amp; PO  Analysis 2020'!$A$4:$BJ$300,62,0),"")</f>
        <v/>
      </c>
      <c r="J328" s="24" t="str">
        <f>IFERROR(VLOOKUP($H328,'[1]Actual &amp; PO  Analysis 2020'!$A$4:$BP$300,68,0),"")</f>
        <v/>
      </c>
      <c r="K328" s="24" t="str">
        <f>IFERROR(VLOOKUP($H328,'[1]Actual &amp; PO  Analysis 2020'!$A$4:$BV$300,74,0),"")</f>
        <v/>
      </c>
      <c r="L328" s="24" t="str">
        <f>IFERROR(VLOOKUP($H328,'[1]Actual &amp; PO  Analysis 2020'!$A$4:$CB$300,80,0),"")</f>
        <v/>
      </c>
      <c r="M328" s="24" t="str">
        <f>IFERROR(VLOOKUP($H328,'[1]Actual &amp; PO  Analysis 2020'!$A$4:$CH$300,86,0),"")</f>
        <v/>
      </c>
      <c r="N328" s="25">
        <v>0</v>
      </c>
    </row>
    <row r="329" spans="1:14" x14ac:dyDescent="0.25">
      <c r="A329" s="11" t="s">
        <v>154</v>
      </c>
      <c r="B329" s="17">
        <v>0</v>
      </c>
      <c r="C329" s="17">
        <v>2.4180000000000001</v>
      </c>
      <c r="D329" s="17">
        <v>1.181</v>
      </c>
      <c r="E329" s="17">
        <v>0.113</v>
      </c>
      <c r="F329" s="17">
        <v>0.78800000000000003</v>
      </c>
      <c r="G329" s="22">
        <f t="shared" si="5"/>
        <v>4.5</v>
      </c>
      <c r="H329" s="11" t="s">
        <v>225</v>
      </c>
      <c r="I329" s="24" t="str">
        <f>IFERROR(VLOOKUP($H329,'[1]Actual &amp; PO  Analysis 2020'!$A$4:$BJ$300,62,0),"")</f>
        <v>0</v>
      </c>
      <c r="J329" s="24">
        <f>IFERROR(VLOOKUP($H329,'[1]Actual &amp; PO  Analysis 2020'!$A$4:$BP$300,68,0),"")</f>
        <v>2.5369999999999999</v>
      </c>
      <c r="K329" s="24">
        <f>IFERROR(VLOOKUP($H329,'[1]Actual &amp; PO  Analysis 2020'!$A$4:$BV$300,74,0),"")</f>
        <v>3.7030000000000003</v>
      </c>
      <c r="L329" s="24">
        <f>IFERROR(VLOOKUP($H329,'[1]Actual &amp; PO  Analysis 2020'!$A$4:$CB$300,80,0),"")</f>
        <v>0.16349999999999998</v>
      </c>
      <c r="M329" s="24">
        <f>IFERROR(VLOOKUP($H329,'[1]Actual &amp; PO  Analysis 2020'!$A$4:$CH$300,86,0),"")</f>
        <v>2.0236666666666667</v>
      </c>
      <c r="N329" s="25">
        <v>9.8635000000000019</v>
      </c>
    </row>
    <row r="330" spans="1:14" x14ac:dyDescent="0.25">
      <c r="A330" s="11" t="s">
        <v>401</v>
      </c>
      <c r="B330" s="17">
        <v>0</v>
      </c>
      <c r="C330" s="17">
        <v>5.0529999999999999</v>
      </c>
      <c r="D330" s="17">
        <v>3.516</v>
      </c>
      <c r="E330" s="17">
        <v>0.1</v>
      </c>
      <c r="F330" s="17">
        <v>1.0209999999999999</v>
      </c>
      <c r="G330" s="22">
        <f t="shared" si="5"/>
        <v>9.6899999999999977</v>
      </c>
      <c r="H330" s="11" t="s">
        <v>210</v>
      </c>
      <c r="I330" s="24">
        <f>IFERROR(VLOOKUP($H330,'[1]Actual &amp; PO  Analysis 2020'!$A$4:$BJ$300,62,0),"")</f>
        <v>0</v>
      </c>
      <c r="J330" s="24">
        <f>IFERROR(VLOOKUP($H330,'[1]Actual &amp; PO  Analysis 2020'!$A$4:$BP$300,68,0),"")</f>
        <v>0</v>
      </c>
      <c r="K330" s="24">
        <f>IFERROR(VLOOKUP($H330,'[1]Actual &amp; PO  Analysis 2020'!$A$4:$BV$300,74,0),"")</f>
        <v>0</v>
      </c>
      <c r="L330" s="24">
        <f>IFERROR(VLOOKUP($H330,'[1]Actual &amp; PO  Analysis 2020'!$A$4:$CB$300,80,0),"")</f>
        <v>0</v>
      </c>
      <c r="M330" s="24">
        <f>IFERROR(VLOOKUP($H330,'[1]Actual &amp; PO  Analysis 2020'!$A$4:$CH$300,86,0),"")</f>
        <v>0</v>
      </c>
      <c r="N330" s="25">
        <v>0</v>
      </c>
    </row>
    <row r="331" spans="1:14" x14ac:dyDescent="0.25">
      <c r="A331" s="11" t="s">
        <v>167</v>
      </c>
      <c r="B331" s="17">
        <v>0</v>
      </c>
      <c r="C331" s="17">
        <v>3.9630000000000001</v>
      </c>
      <c r="D331" s="17">
        <v>2.4300000000000002</v>
      </c>
      <c r="E331" s="17">
        <v>0.1</v>
      </c>
      <c r="F331" s="17">
        <v>0.99</v>
      </c>
      <c r="G331" s="22">
        <f t="shared" si="5"/>
        <v>7.4830000000000005</v>
      </c>
      <c r="H331" s="11" t="s">
        <v>342</v>
      </c>
      <c r="I331" s="24" t="str">
        <f>IFERROR(VLOOKUP($H331,'[1]Actual &amp; PO  Analysis 2020'!$A$4:$BJ$300,62,0),"")</f>
        <v/>
      </c>
      <c r="J331" s="24" t="str">
        <f>IFERROR(VLOOKUP($H331,'[1]Actual &amp; PO  Analysis 2020'!$A$4:$BP$300,68,0),"")</f>
        <v/>
      </c>
      <c r="K331" s="24" t="str">
        <f>IFERROR(VLOOKUP($H331,'[1]Actual &amp; PO  Analysis 2020'!$A$4:$BV$300,74,0),"")</f>
        <v/>
      </c>
      <c r="L331" s="24" t="str">
        <f>IFERROR(VLOOKUP($H331,'[1]Actual &amp; PO  Analysis 2020'!$A$4:$CB$300,80,0),"")</f>
        <v/>
      </c>
      <c r="M331" s="24" t="str">
        <f>IFERROR(VLOOKUP($H331,'[1]Actual &amp; PO  Analysis 2020'!$A$4:$CH$300,86,0),"")</f>
        <v/>
      </c>
      <c r="N331" s="25">
        <v>0</v>
      </c>
    </row>
    <row r="332" spans="1:14" x14ac:dyDescent="0.25">
      <c r="A332" s="11" t="s">
        <v>324</v>
      </c>
      <c r="B332" s="17">
        <v>0</v>
      </c>
      <c r="C332" s="17">
        <v>6.2830000000000004</v>
      </c>
      <c r="D332" s="17">
        <v>6.282</v>
      </c>
      <c r="E332" s="17">
        <v>9.2999999999999999E-2</v>
      </c>
      <c r="F332" s="17">
        <v>2.681</v>
      </c>
      <c r="G332" s="22">
        <f t="shared" si="5"/>
        <v>15.339000000000002</v>
      </c>
      <c r="H332" s="11" t="s">
        <v>156</v>
      </c>
      <c r="I332" s="24" t="str">
        <f>IFERROR(VLOOKUP($H332,'[1]Actual &amp; PO  Analysis 2020'!$A$4:$BJ$300,62,0),"")</f>
        <v>0</v>
      </c>
      <c r="J332" s="24">
        <f>IFERROR(VLOOKUP($H332,'[1]Actual &amp; PO  Analysis 2020'!$A$4:$BP$300,68,0),"")</f>
        <v>2.7201666666666671</v>
      </c>
      <c r="K332" s="24">
        <f>IFERROR(VLOOKUP($H332,'[1]Actual &amp; PO  Analysis 2020'!$A$4:$BV$300,74,0),"")</f>
        <v>2.1636666666666664</v>
      </c>
      <c r="L332" s="24">
        <f>IFERROR(VLOOKUP($H332,'[1]Actual &amp; PO  Analysis 2020'!$A$4:$CB$300,80,0),"")</f>
        <v>0.17233333333333334</v>
      </c>
      <c r="M332" s="24">
        <f>IFERROR(VLOOKUP($H332,'[1]Actual &amp; PO  Analysis 2020'!$A$4:$CH$300,86,0),"")</f>
        <v>0.70016666666666671</v>
      </c>
      <c r="N332" s="25">
        <v>7.6080000000000005</v>
      </c>
    </row>
    <row r="333" spans="1:14" x14ac:dyDescent="0.25">
      <c r="A333" s="11" t="s">
        <v>118</v>
      </c>
      <c r="B333" s="17">
        <v>0</v>
      </c>
      <c r="C333" s="17">
        <v>3.298</v>
      </c>
      <c r="D333" s="17">
        <v>2.38</v>
      </c>
      <c r="E333" s="17">
        <v>0</v>
      </c>
      <c r="F333" s="17">
        <v>1.3220000000000001</v>
      </c>
      <c r="G333" s="22">
        <f t="shared" si="5"/>
        <v>7</v>
      </c>
      <c r="H333" s="11" t="s">
        <v>154</v>
      </c>
      <c r="I333" s="24" t="str">
        <f>IFERROR(VLOOKUP($H333,'[1]Actual &amp; PO  Analysis 2020'!$A$4:$BJ$300,62,0),"")</f>
        <v/>
      </c>
      <c r="J333" s="24" t="str">
        <f>IFERROR(VLOOKUP($H333,'[1]Actual &amp; PO  Analysis 2020'!$A$4:$BP$300,68,0),"")</f>
        <v/>
      </c>
      <c r="K333" s="24" t="str">
        <f>IFERROR(VLOOKUP($H333,'[1]Actual &amp; PO  Analysis 2020'!$A$4:$BV$300,74,0),"")</f>
        <v/>
      </c>
      <c r="L333" s="24" t="str">
        <f>IFERROR(VLOOKUP($H333,'[1]Actual &amp; PO  Analysis 2020'!$A$4:$CB$300,80,0),"")</f>
        <v/>
      </c>
      <c r="M333" s="24" t="str">
        <f>IFERROR(VLOOKUP($H333,'[1]Actual &amp; PO  Analysis 2020'!$A$4:$CH$300,86,0),"")</f>
        <v/>
      </c>
      <c r="N333" s="25">
        <v>0</v>
      </c>
    </row>
    <row r="334" spans="1:14" x14ac:dyDescent="0.25">
      <c r="A334" s="11" t="s">
        <v>150</v>
      </c>
      <c r="B334" s="17">
        <v>0</v>
      </c>
      <c r="C334" s="17">
        <v>5.0960000000000001</v>
      </c>
      <c r="D334" s="17">
        <v>2.9620000000000002</v>
      </c>
      <c r="E334" s="17">
        <v>0.125</v>
      </c>
      <c r="F334" s="17">
        <v>0.93799999999999994</v>
      </c>
      <c r="G334" s="22">
        <f t="shared" si="5"/>
        <v>9.1210000000000004</v>
      </c>
      <c r="H334" s="11" t="s">
        <v>401</v>
      </c>
      <c r="I334" s="24" t="str">
        <f>IFERROR(VLOOKUP($H334,'[1]Actual &amp; PO  Analysis 2020'!$A$4:$BJ$300,62,0),"")</f>
        <v/>
      </c>
      <c r="J334" s="24" t="str">
        <f>IFERROR(VLOOKUP($H334,'[1]Actual &amp; PO  Analysis 2020'!$A$4:$BP$300,68,0),"")</f>
        <v/>
      </c>
      <c r="K334" s="24" t="str">
        <f>IFERROR(VLOOKUP($H334,'[1]Actual &amp; PO  Analysis 2020'!$A$4:$BV$300,74,0),"")</f>
        <v/>
      </c>
      <c r="L334" s="24" t="str">
        <f>IFERROR(VLOOKUP($H334,'[1]Actual &amp; PO  Analysis 2020'!$A$4:$CB$300,80,0),"")</f>
        <v/>
      </c>
      <c r="M334" s="24" t="str">
        <f>IFERROR(VLOOKUP($H334,'[1]Actual &amp; PO  Analysis 2020'!$A$4:$CH$300,86,0),"")</f>
        <v/>
      </c>
      <c r="N334" s="25">
        <v>0</v>
      </c>
    </row>
    <row r="335" spans="1:14" x14ac:dyDescent="0.25">
      <c r="A335" s="11" t="s">
        <v>162</v>
      </c>
      <c r="B335" s="17">
        <v>0</v>
      </c>
      <c r="C335" s="17">
        <v>2.9</v>
      </c>
      <c r="D335" s="17">
        <v>2.97</v>
      </c>
      <c r="E335" s="17">
        <v>0</v>
      </c>
      <c r="F335" s="17">
        <v>1.6</v>
      </c>
      <c r="G335" s="22">
        <f t="shared" si="5"/>
        <v>7.4700000000000006</v>
      </c>
      <c r="H335" s="11" t="s">
        <v>167</v>
      </c>
      <c r="I335" s="24" t="str">
        <f>IFERROR(VLOOKUP($H335,'[1]Actual &amp; PO  Analysis 2020'!$A$4:$BJ$300,62,0),"")</f>
        <v>0</v>
      </c>
      <c r="J335" s="24">
        <f>IFERROR(VLOOKUP($H335,'[1]Actual &amp; PO  Analysis 2020'!$A$4:$BP$300,68,0),"")</f>
        <v>2.3705000000000003</v>
      </c>
      <c r="K335" s="24">
        <f>IFERROR(VLOOKUP($H335,'[1]Actual &amp; PO  Analysis 2020'!$A$4:$BV$300,74,0),"")</f>
        <v>1.9758333333333331</v>
      </c>
      <c r="L335" s="24">
        <f>IFERROR(VLOOKUP($H335,'[1]Actual &amp; PO  Analysis 2020'!$A$4:$CB$300,80,0),"")</f>
        <v>0.20299999999999999</v>
      </c>
      <c r="M335" s="24">
        <f>IFERROR(VLOOKUP($H335,'[1]Actual &amp; PO  Analysis 2020'!$A$4:$CH$300,86,0),"")</f>
        <v>0.84266666666666667</v>
      </c>
      <c r="N335" s="25">
        <v>5.3517999999999999</v>
      </c>
    </row>
    <row r="336" spans="1:14" x14ac:dyDescent="0.25">
      <c r="A336" s="11" t="s">
        <v>148</v>
      </c>
      <c r="B336" s="17">
        <v>0</v>
      </c>
      <c r="C336" s="17">
        <v>3.157</v>
      </c>
      <c r="D336" s="17">
        <v>2.5300000000000002</v>
      </c>
      <c r="E336" s="17">
        <v>0.111</v>
      </c>
      <c r="F336" s="17">
        <v>0.76900000000000002</v>
      </c>
      <c r="G336" s="22">
        <f t="shared" si="5"/>
        <v>6.5670000000000002</v>
      </c>
      <c r="H336" s="11" t="s">
        <v>324</v>
      </c>
      <c r="I336" s="24" t="str">
        <f>IFERROR(VLOOKUP($H336,'[1]Actual &amp; PO  Analysis 2020'!$A$4:$BJ$300,62,0),"")</f>
        <v>0</v>
      </c>
      <c r="J336" s="24">
        <f>IFERROR(VLOOKUP($H336,'[1]Actual &amp; PO  Analysis 2020'!$A$4:$BP$300,68,0),"")</f>
        <v>3.43025</v>
      </c>
      <c r="K336" s="24">
        <f>IFERROR(VLOOKUP($H336,'[1]Actual &amp; PO  Analysis 2020'!$A$4:$BV$300,74,0),"")</f>
        <v>5.5489999999999995</v>
      </c>
      <c r="L336" s="24" t="str">
        <f>IFERROR(VLOOKUP($H336,'[1]Actual &amp; PO  Analysis 2020'!$A$4:$CB$300,80,0),"")</f>
        <v>0</v>
      </c>
      <c r="M336" s="24">
        <f>IFERROR(VLOOKUP($H336,'[1]Actual &amp; PO  Analysis 2020'!$A$4:$CH$300,86,0),"")</f>
        <v>4.9266666666666667</v>
      </c>
      <c r="N336" s="25">
        <v>6.8317499999999995</v>
      </c>
    </row>
    <row r="337" spans="1:14" x14ac:dyDescent="0.25">
      <c r="A337" s="11" t="s">
        <v>252</v>
      </c>
      <c r="B337" s="17">
        <v>0</v>
      </c>
      <c r="C337" s="17">
        <v>3.6</v>
      </c>
      <c r="D337" s="17">
        <v>3.46</v>
      </c>
      <c r="E337" s="17">
        <v>0.1</v>
      </c>
      <c r="F337" s="17">
        <v>1.08</v>
      </c>
      <c r="G337" s="22">
        <f t="shared" si="5"/>
        <v>8.24</v>
      </c>
      <c r="H337" s="11" t="s">
        <v>118</v>
      </c>
      <c r="I337" s="24" t="str">
        <f>IFERROR(VLOOKUP($H337,'[1]Actual &amp; PO  Analysis 2020'!$A$4:$BJ$300,62,0),"")</f>
        <v/>
      </c>
      <c r="J337" s="24" t="str">
        <f>IFERROR(VLOOKUP($H337,'[1]Actual &amp; PO  Analysis 2020'!$A$4:$BP$300,68,0),"")</f>
        <v/>
      </c>
      <c r="K337" s="24" t="str">
        <f>IFERROR(VLOOKUP($H337,'[1]Actual &amp; PO  Analysis 2020'!$A$4:$BV$300,74,0),"")</f>
        <v/>
      </c>
      <c r="L337" s="24" t="str">
        <f>IFERROR(VLOOKUP($H337,'[1]Actual &amp; PO  Analysis 2020'!$A$4:$CB$300,80,0),"")</f>
        <v/>
      </c>
      <c r="M337" s="24" t="str">
        <f>IFERROR(VLOOKUP($H337,'[1]Actual &amp; PO  Analysis 2020'!$A$4:$CH$300,86,0),"")</f>
        <v/>
      </c>
      <c r="N337" s="25">
        <v>0</v>
      </c>
    </row>
    <row r="338" spans="1:14" x14ac:dyDescent="0.25">
      <c r="A338" s="11" t="s">
        <v>219</v>
      </c>
      <c r="B338" s="17">
        <v>0</v>
      </c>
      <c r="C338" s="17">
        <v>4.4969999999999999</v>
      </c>
      <c r="D338" s="17">
        <v>4.734</v>
      </c>
      <c r="E338" s="17">
        <v>0.159</v>
      </c>
      <c r="F338" s="17">
        <v>1.1100000000000001</v>
      </c>
      <c r="G338" s="22">
        <f t="shared" si="5"/>
        <v>10.5</v>
      </c>
      <c r="H338" s="11" t="s">
        <v>150</v>
      </c>
      <c r="I338" s="24" t="str">
        <f>IFERROR(VLOOKUP($H338,'[1]Actual &amp; PO  Analysis 2020'!$A$4:$BJ$300,62,0),"")</f>
        <v>0</v>
      </c>
      <c r="J338" s="24">
        <f>IFERROR(VLOOKUP($H338,'[1]Actual &amp; PO  Analysis 2020'!$A$4:$BP$300,68,0),"")</f>
        <v>6.7409999999999997</v>
      </c>
      <c r="K338" s="24">
        <f>IFERROR(VLOOKUP($H338,'[1]Actual &amp; PO  Analysis 2020'!$A$4:$BV$300,74,0),"")</f>
        <v>2.7870000000000004</v>
      </c>
      <c r="L338" s="24">
        <f>IFERROR(VLOOKUP($H338,'[1]Actual &amp; PO  Analysis 2020'!$A$4:$CB$300,80,0),"")</f>
        <v>0.18400000000000002</v>
      </c>
      <c r="M338" s="24">
        <f>IFERROR(VLOOKUP($H338,'[1]Actual &amp; PO  Analysis 2020'!$A$4:$CH$300,86,0),"")</f>
        <v>1.1606666666666665</v>
      </c>
      <c r="N338" s="25">
        <v>12.873999999999999</v>
      </c>
    </row>
    <row r="339" spans="1:14" x14ac:dyDescent="0.25">
      <c r="A339" s="11" t="s">
        <v>509</v>
      </c>
      <c r="B339" s="17">
        <v>0</v>
      </c>
      <c r="C339" s="17">
        <v>4.78</v>
      </c>
      <c r="D339" s="17">
        <v>4.18</v>
      </c>
      <c r="E339" s="17">
        <v>0.15</v>
      </c>
      <c r="F339" s="17">
        <v>0.9</v>
      </c>
      <c r="G339" s="22">
        <f t="shared" si="5"/>
        <v>10.010000000000002</v>
      </c>
      <c r="H339" s="11" t="s">
        <v>162</v>
      </c>
      <c r="I339" s="24" t="str">
        <f>IFERROR(VLOOKUP($H339,'[1]Actual &amp; PO  Analysis 2020'!$A$4:$BJ$300,62,0),"")</f>
        <v/>
      </c>
      <c r="J339" s="24" t="str">
        <f>IFERROR(VLOOKUP($H339,'[1]Actual &amp; PO  Analysis 2020'!$A$4:$BP$300,68,0),"")</f>
        <v/>
      </c>
      <c r="K339" s="24" t="str">
        <f>IFERROR(VLOOKUP($H339,'[1]Actual &amp; PO  Analysis 2020'!$A$4:$BV$300,74,0),"")</f>
        <v/>
      </c>
      <c r="L339" s="24" t="str">
        <f>IFERROR(VLOOKUP($H339,'[1]Actual &amp; PO  Analysis 2020'!$A$4:$CB$300,80,0),"")</f>
        <v/>
      </c>
      <c r="M339" s="24" t="str">
        <f>IFERROR(VLOOKUP($H339,'[1]Actual &amp; PO  Analysis 2020'!$A$4:$CH$300,86,0),"")</f>
        <v/>
      </c>
      <c r="N339" s="25">
        <v>0</v>
      </c>
    </row>
    <row r="340" spans="1:14" x14ac:dyDescent="0.25">
      <c r="A340" s="11" t="s">
        <v>214</v>
      </c>
      <c r="B340" s="17">
        <v>0</v>
      </c>
      <c r="C340" s="17">
        <v>8.2040000000000006</v>
      </c>
      <c r="D340" s="17">
        <v>6.125</v>
      </c>
      <c r="E340" s="17">
        <v>0.184</v>
      </c>
      <c r="F340" s="17">
        <v>1.9870000000000001</v>
      </c>
      <c r="G340" s="22">
        <f t="shared" si="5"/>
        <v>16.5</v>
      </c>
      <c r="H340" s="11" t="s">
        <v>148</v>
      </c>
      <c r="I340" s="24" t="str">
        <f>IFERROR(VLOOKUP($H340,'[1]Actual &amp; PO  Analysis 2020'!$A$4:$BJ$300,62,0),"")</f>
        <v>0</v>
      </c>
      <c r="J340" s="24">
        <f>IFERROR(VLOOKUP($H340,'[1]Actual &amp; PO  Analysis 2020'!$A$4:$BP$300,68,0),"")</f>
        <v>1.21075</v>
      </c>
      <c r="K340" s="24">
        <f>IFERROR(VLOOKUP($H340,'[1]Actual &amp; PO  Analysis 2020'!$A$4:$BV$300,74,0),"")</f>
        <v>2.9552500000000004</v>
      </c>
      <c r="L340" s="24">
        <f>IFERROR(VLOOKUP($H340,'[1]Actual &amp; PO  Analysis 2020'!$A$4:$CB$300,80,0),"")</f>
        <v>0.17925000000000002</v>
      </c>
      <c r="M340" s="24">
        <f>IFERROR(VLOOKUP($H340,'[1]Actual &amp; PO  Analysis 2020'!$A$4:$CH$300,86,0),"")</f>
        <v>0.97475000000000001</v>
      </c>
      <c r="N340" s="25">
        <v>8.9785000000000004</v>
      </c>
    </row>
    <row r="341" spans="1:14" x14ac:dyDescent="0.25">
      <c r="A341" s="11" t="s">
        <v>142</v>
      </c>
      <c r="B341" s="17">
        <v>0</v>
      </c>
      <c r="C341" s="17">
        <v>3.43</v>
      </c>
      <c r="D341" s="17">
        <v>2.08</v>
      </c>
      <c r="E341" s="17">
        <v>0.1</v>
      </c>
      <c r="F341" s="17">
        <v>0.64</v>
      </c>
      <c r="G341" s="22">
        <f t="shared" si="5"/>
        <v>6.2499999999999991</v>
      </c>
      <c r="H341" s="11" t="s">
        <v>252</v>
      </c>
      <c r="I341" s="24" t="str">
        <f>IFERROR(VLOOKUP($H341,'[1]Actual &amp; PO  Analysis 2020'!$A$4:$BJ$300,62,0),"")</f>
        <v>0</v>
      </c>
      <c r="J341" s="24">
        <f>IFERROR(VLOOKUP($H341,'[1]Actual &amp; PO  Analysis 2020'!$A$4:$BP$300,68,0),"")</f>
        <v>5.4574999999999996</v>
      </c>
      <c r="K341" s="24">
        <f>IFERROR(VLOOKUP($H341,'[1]Actual &amp; PO  Analysis 2020'!$A$4:$BV$300,74,0),"")</f>
        <v>16.89</v>
      </c>
      <c r="L341" s="24">
        <f>IFERROR(VLOOKUP($H341,'[1]Actual &amp; PO  Analysis 2020'!$A$4:$CB$300,80,0),"")</f>
        <v>0.122</v>
      </c>
      <c r="M341" s="24">
        <f>IFERROR(VLOOKUP($H341,'[1]Actual &amp; PO  Analysis 2020'!$A$4:$CH$300,86,0),"")</f>
        <v>2.75</v>
      </c>
      <c r="N341" s="25">
        <v>5.4224999999999994</v>
      </c>
    </row>
    <row r="342" spans="1:14" x14ac:dyDescent="0.25">
      <c r="A342" s="11" t="s">
        <v>143</v>
      </c>
      <c r="B342" s="17">
        <v>0</v>
      </c>
      <c r="C342" s="17">
        <v>4.7080000000000002</v>
      </c>
      <c r="D342" s="17">
        <v>2.8559999999999999</v>
      </c>
      <c r="E342" s="17">
        <v>0.13700000000000001</v>
      </c>
      <c r="F342" s="17">
        <v>0.878</v>
      </c>
      <c r="G342" s="22">
        <f t="shared" si="5"/>
        <v>8.5790000000000006</v>
      </c>
      <c r="H342" s="11" t="s">
        <v>219</v>
      </c>
      <c r="I342" s="24" t="str">
        <f>IFERROR(VLOOKUP($H342,'[1]Actual &amp; PO  Analysis 2020'!$A$4:$BJ$300,62,0),"")</f>
        <v>0</v>
      </c>
      <c r="J342" s="24">
        <f>IFERROR(VLOOKUP($H342,'[1]Actual &amp; PO  Analysis 2020'!$A$4:$BP$300,68,0),"")</f>
        <v>3.3439999999999999</v>
      </c>
      <c r="K342" s="24">
        <f>IFERROR(VLOOKUP($H342,'[1]Actual &amp; PO  Analysis 2020'!$A$4:$BV$300,74,0),"")</f>
        <v>2.7080000000000002</v>
      </c>
      <c r="L342" s="24">
        <f>IFERROR(VLOOKUP($H342,'[1]Actual &amp; PO  Analysis 2020'!$A$4:$CB$300,80,0),"")</f>
        <v>0.17366666666666666</v>
      </c>
      <c r="M342" s="24">
        <f>IFERROR(VLOOKUP($H342,'[1]Actual &amp; PO  Analysis 2020'!$A$4:$CH$300,86,0),"")</f>
        <v>1.1933333333333334</v>
      </c>
      <c r="N342" s="25">
        <v>16.509833333333336</v>
      </c>
    </row>
    <row r="343" spans="1:14" x14ac:dyDescent="0.25">
      <c r="A343" s="11" t="s">
        <v>144</v>
      </c>
      <c r="B343" s="17">
        <v>0</v>
      </c>
      <c r="C343" s="17">
        <v>3.43</v>
      </c>
      <c r="D343" s="17">
        <v>2.08</v>
      </c>
      <c r="E343" s="17">
        <v>0.1</v>
      </c>
      <c r="F343" s="17">
        <v>0.64</v>
      </c>
      <c r="G343" s="22">
        <f t="shared" si="5"/>
        <v>6.2499999999999991</v>
      </c>
      <c r="H343" s="11" t="s">
        <v>509</v>
      </c>
      <c r="I343" s="24">
        <f>IFERROR(VLOOKUP($H343,'[1]Actual &amp; PO  Analysis 2020'!$A$4:$BJ$300,62,0),"")</f>
        <v>0</v>
      </c>
      <c r="J343" s="24">
        <f>IFERROR(VLOOKUP($H343,'[1]Actual &amp; PO  Analysis 2020'!$A$4:$BP$300,68,0),"")</f>
        <v>0</v>
      </c>
      <c r="K343" s="24">
        <f>IFERROR(VLOOKUP($H343,'[1]Actual &amp; PO  Analysis 2020'!$A$4:$BV$300,74,0),"")</f>
        <v>0</v>
      </c>
      <c r="L343" s="24">
        <f>IFERROR(VLOOKUP($H343,'[1]Actual &amp; PO  Analysis 2020'!$A$4:$CB$300,80,0),"")</f>
        <v>0</v>
      </c>
      <c r="M343" s="24">
        <f>IFERROR(VLOOKUP($H343,'[1]Actual &amp; PO  Analysis 2020'!$A$4:$CH$300,86,0),"")</f>
        <v>0</v>
      </c>
      <c r="N343" s="25">
        <v>0</v>
      </c>
    </row>
    <row r="344" spans="1:14" x14ac:dyDescent="0.25">
      <c r="A344" s="11" t="s">
        <v>262</v>
      </c>
      <c r="B344" s="17">
        <v>0</v>
      </c>
      <c r="C344" s="17">
        <v>5.4</v>
      </c>
      <c r="D344" s="17">
        <v>4.93</v>
      </c>
      <c r="E344" s="17">
        <v>0.1</v>
      </c>
      <c r="F344" s="17">
        <v>1.98</v>
      </c>
      <c r="G344" s="22">
        <f t="shared" si="5"/>
        <v>12.41</v>
      </c>
      <c r="H344" s="11" t="s">
        <v>214</v>
      </c>
      <c r="I344" s="24" t="str">
        <f>IFERROR(VLOOKUP($H344,'[1]Actual &amp; PO  Analysis 2020'!$A$4:$BJ$300,62,0),"")</f>
        <v/>
      </c>
      <c r="J344" s="24" t="str">
        <f>IFERROR(VLOOKUP($H344,'[1]Actual &amp; PO  Analysis 2020'!$A$4:$BP$300,68,0),"")</f>
        <v/>
      </c>
      <c r="K344" s="24" t="str">
        <f>IFERROR(VLOOKUP($H344,'[1]Actual &amp; PO  Analysis 2020'!$A$4:$BV$300,74,0),"")</f>
        <v/>
      </c>
      <c r="L344" s="24" t="str">
        <f>IFERROR(VLOOKUP($H344,'[1]Actual &amp; PO  Analysis 2020'!$A$4:$CB$300,80,0),"")</f>
        <v/>
      </c>
      <c r="M344" s="24" t="str">
        <f>IFERROR(VLOOKUP($H344,'[1]Actual &amp; PO  Analysis 2020'!$A$4:$CH$300,86,0),"")</f>
        <v/>
      </c>
      <c r="N344" s="25">
        <v>0</v>
      </c>
    </row>
    <row r="345" spans="1:14" x14ac:dyDescent="0.25">
      <c r="A345" s="11" t="s">
        <v>263</v>
      </c>
      <c r="B345" s="17">
        <v>0</v>
      </c>
      <c r="C345" s="17">
        <v>5.4</v>
      </c>
      <c r="D345" s="17">
        <v>4.93</v>
      </c>
      <c r="E345" s="17">
        <v>0.1</v>
      </c>
      <c r="F345" s="17">
        <v>1.98</v>
      </c>
      <c r="G345" s="22">
        <f t="shared" si="5"/>
        <v>12.41</v>
      </c>
      <c r="H345" s="11" t="s">
        <v>142</v>
      </c>
      <c r="I345" s="24" t="str">
        <f>IFERROR(VLOOKUP($H345,'[1]Actual &amp; PO  Analysis 2020'!$A$4:$BJ$300,62,0),"")</f>
        <v/>
      </c>
      <c r="J345" s="24" t="str">
        <f>IFERROR(VLOOKUP($H345,'[1]Actual &amp; PO  Analysis 2020'!$A$4:$BP$300,68,0),"")</f>
        <v/>
      </c>
      <c r="K345" s="24" t="str">
        <f>IFERROR(VLOOKUP($H345,'[1]Actual &amp; PO  Analysis 2020'!$A$4:$BV$300,74,0),"")</f>
        <v/>
      </c>
      <c r="L345" s="24" t="str">
        <f>IFERROR(VLOOKUP($H345,'[1]Actual &amp; PO  Analysis 2020'!$A$4:$CB$300,80,0),"")</f>
        <v/>
      </c>
      <c r="M345" s="24" t="str">
        <f>IFERROR(VLOOKUP($H345,'[1]Actual &amp; PO  Analysis 2020'!$A$4:$CH$300,86,0),"")</f>
        <v/>
      </c>
      <c r="N345" s="25">
        <v>0</v>
      </c>
    </row>
    <row r="346" spans="1:14" x14ac:dyDescent="0.25">
      <c r="A346" s="11" t="s">
        <v>203</v>
      </c>
      <c r="B346" s="17">
        <v>0</v>
      </c>
      <c r="C346" s="17">
        <v>4.0140000000000002</v>
      </c>
      <c r="D346" s="17">
        <v>4.282</v>
      </c>
      <c r="E346" s="17">
        <v>0.14899999999999999</v>
      </c>
      <c r="F346" s="17">
        <v>1.264</v>
      </c>
      <c r="G346" s="22">
        <f t="shared" si="5"/>
        <v>9.7089999999999979</v>
      </c>
      <c r="H346" s="11" t="s">
        <v>143</v>
      </c>
      <c r="I346" s="24" t="str">
        <f>IFERROR(VLOOKUP($H346,'[1]Actual &amp; PO  Analysis 2020'!$A$4:$BJ$300,62,0),"")</f>
        <v>0</v>
      </c>
      <c r="J346" s="24">
        <f>IFERROR(VLOOKUP($H346,'[1]Actual &amp; PO  Analysis 2020'!$A$4:$BP$300,68,0),"")</f>
        <v>2.6198333333333332</v>
      </c>
      <c r="K346" s="24">
        <f>IFERROR(VLOOKUP($H346,'[1]Actual &amp; PO  Analysis 2020'!$A$4:$BV$300,74,0),"")</f>
        <v>2.7810000000000001</v>
      </c>
      <c r="L346" s="24">
        <f>IFERROR(VLOOKUP($H346,'[1]Actual &amp; PO  Analysis 2020'!$A$4:$CB$300,80,0),"")</f>
        <v>0.17549999999999999</v>
      </c>
      <c r="M346" s="24">
        <f>IFERROR(VLOOKUP($H346,'[1]Actual &amp; PO  Analysis 2020'!$A$4:$CH$300,86,0),"")</f>
        <v>1.2358333333333333</v>
      </c>
      <c r="N346" s="25">
        <v>10.084499999999998</v>
      </c>
    </row>
    <row r="347" spans="1:14" x14ac:dyDescent="0.25">
      <c r="A347" s="11" t="s">
        <v>204</v>
      </c>
      <c r="B347" s="17">
        <v>0</v>
      </c>
      <c r="C347" s="17">
        <v>4.0140000000000002</v>
      </c>
      <c r="D347" s="17">
        <v>4.282</v>
      </c>
      <c r="E347" s="17">
        <v>0.14899999999999999</v>
      </c>
      <c r="F347" s="17">
        <v>1.264</v>
      </c>
      <c r="G347" s="22">
        <f t="shared" si="5"/>
        <v>9.7089999999999979</v>
      </c>
      <c r="H347" s="11" t="s">
        <v>144</v>
      </c>
      <c r="I347" s="24" t="str">
        <f>IFERROR(VLOOKUP($H347,'[1]Actual &amp; PO  Analysis 2020'!$A$4:$BJ$300,62,0),"")</f>
        <v>0</v>
      </c>
      <c r="J347" s="24">
        <f>IFERROR(VLOOKUP($H347,'[1]Actual &amp; PO  Analysis 2020'!$A$4:$BP$300,68,0),"")</f>
        <v>3.6640000000000001</v>
      </c>
      <c r="K347" s="24">
        <f>IFERROR(VLOOKUP($H347,'[1]Actual &amp; PO  Analysis 2020'!$A$4:$BV$300,74,0),"")</f>
        <v>3.3650000000000002</v>
      </c>
      <c r="L347" s="24">
        <f>IFERROR(VLOOKUP($H347,'[1]Actual &amp; PO  Analysis 2020'!$A$4:$CB$300,80,0),"")</f>
        <v>0.216</v>
      </c>
      <c r="M347" s="24">
        <f>IFERROR(VLOOKUP($H347,'[1]Actual &amp; PO  Analysis 2020'!$A$4:$CH$300,86,0),"")</f>
        <v>0.93200000000000005</v>
      </c>
      <c r="N347" s="25">
        <v>0</v>
      </c>
    </row>
    <row r="348" spans="1:14" x14ac:dyDescent="0.25">
      <c r="A348" s="11" t="s">
        <v>237</v>
      </c>
      <c r="B348" s="17">
        <v>0</v>
      </c>
      <c r="C348" s="17">
        <v>6</v>
      </c>
      <c r="D348" s="17">
        <v>4.17</v>
      </c>
      <c r="E348" s="17">
        <v>0.1</v>
      </c>
      <c r="F348" s="17">
        <v>1.19</v>
      </c>
      <c r="G348" s="22">
        <f t="shared" si="5"/>
        <v>11.459999999999999</v>
      </c>
      <c r="H348" s="11" t="s">
        <v>262</v>
      </c>
      <c r="I348" s="24" t="str">
        <f>IFERROR(VLOOKUP($H348,'[1]Actual &amp; PO  Analysis 2020'!$A$4:$BJ$300,62,0),"")</f>
        <v/>
      </c>
      <c r="J348" s="24" t="str">
        <f>IFERROR(VLOOKUP($H348,'[1]Actual &amp; PO  Analysis 2020'!$A$4:$BP$300,68,0),"")</f>
        <v/>
      </c>
      <c r="K348" s="24" t="str">
        <f>IFERROR(VLOOKUP($H348,'[1]Actual &amp; PO  Analysis 2020'!$A$4:$BV$300,74,0),"")</f>
        <v/>
      </c>
      <c r="L348" s="24" t="str">
        <f>IFERROR(VLOOKUP($H348,'[1]Actual &amp; PO  Analysis 2020'!$A$4:$CB$300,80,0),"")</f>
        <v/>
      </c>
      <c r="M348" s="24" t="str">
        <f>IFERROR(VLOOKUP($H348,'[1]Actual &amp; PO  Analysis 2020'!$A$4:$CH$300,86,0),"")</f>
        <v/>
      </c>
      <c r="N348" s="25">
        <v>0</v>
      </c>
    </row>
    <row r="349" spans="1:14" x14ac:dyDescent="0.25">
      <c r="A349" s="11" t="s">
        <v>151</v>
      </c>
      <c r="B349" s="17">
        <v>0</v>
      </c>
      <c r="C349" s="17">
        <v>1.1910000000000001</v>
      </c>
      <c r="D349" s="17">
        <v>1.968</v>
      </c>
      <c r="E349" s="17">
        <v>8.7999999999999995E-2</v>
      </c>
      <c r="F349" s="17">
        <v>0.65300000000000002</v>
      </c>
      <c r="G349" s="22">
        <f t="shared" si="5"/>
        <v>3.9</v>
      </c>
      <c r="H349" s="11" t="s">
        <v>263</v>
      </c>
      <c r="I349" s="24" t="str">
        <f>IFERROR(VLOOKUP($H349,'[1]Actual &amp; PO  Analysis 2020'!$A$4:$BJ$300,62,0),"")</f>
        <v>0</v>
      </c>
      <c r="J349" s="24">
        <f>IFERROR(VLOOKUP($H349,'[1]Actual &amp; PO  Analysis 2020'!$A$4:$BP$300,68,0),"")</f>
        <v>5.1114999999999995</v>
      </c>
      <c r="K349" s="24">
        <f>IFERROR(VLOOKUP($H349,'[1]Actual &amp; PO  Analysis 2020'!$A$4:$BV$300,74,0),"")</f>
        <v>5.617</v>
      </c>
      <c r="L349" s="24">
        <f>IFERROR(VLOOKUP($H349,'[1]Actual &amp; PO  Analysis 2020'!$A$4:$CB$300,80,0),"")</f>
        <v>0.188</v>
      </c>
      <c r="M349" s="24">
        <f>IFERROR(VLOOKUP($H349,'[1]Actual &amp; PO  Analysis 2020'!$A$4:$CH$300,86,0),"")</f>
        <v>1.65</v>
      </c>
      <c r="N349" s="25">
        <v>5.7</v>
      </c>
    </row>
    <row r="350" spans="1:14" x14ac:dyDescent="0.25">
      <c r="A350" s="11" t="s">
        <v>153</v>
      </c>
      <c r="B350" s="17">
        <v>0</v>
      </c>
      <c r="C350" s="17">
        <v>1.77</v>
      </c>
      <c r="D350" s="17">
        <v>1.1600000000000001</v>
      </c>
      <c r="E350" s="17">
        <v>0.1</v>
      </c>
      <c r="F350" s="17">
        <v>0.77</v>
      </c>
      <c r="G350" s="22">
        <f t="shared" si="5"/>
        <v>3.8000000000000003</v>
      </c>
      <c r="H350" s="11" t="s">
        <v>203</v>
      </c>
      <c r="I350" s="24" t="str">
        <f>IFERROR(VLOOKUP($H350,'[1]Actual &amp; PO  Analysis 2020'!$A$4:$BJ$300,62,0),"")</f>
        <v/>
      </c>
      <c r="J350" s="24" t="str">
        <f>IFERROR(VLOOKUP($H350,'[1]Actual &amp; PO  Analysis 2020'!$A$4:$BP$300,68,0),"")</f>
        <v/>
      </c>
      <c r="K350" s="24" t="str">
        <f>IFERROR(VLOOKUP($H350,'[1]Actual &amp; PO  Analysis 2020'!$A$4:$BV$300,74,0),"")</f>
        <v/>
      </c>
      <c r="L350" s="24" t="str">
        <f>IFERROR(VLOOKUP($H350,'[1]Actual &amp; PO  Analysis 2020'!$A$4:$CB$300,80,0),"")</f>
        <v/>
      </c>
      <c r="M350" s="24" t="str">
        <f>IFERROR(VLOOKUP($H350,'[1]Actual &amp; PO  Analysis 2020'!$A$4:$CH$300,86,0),"")</f>
        <v/>
      </c>
      <c r="N350" s="25">
        <v>0</v>
      </c>
    </row>
    <row r="351" spans="1:14" x14ac:dyDescent="0.25">
      <c r="A351" s="11" t="s">
        <v>383</v>
      </c>
      <c r="B351" s="17">
        <v>0</v>
      </c>
      <c r="C351" s="17">
        <v>6.86</v>
      </c>
      <c r="D351" s="17">
        <v>4.76</v>
      </c>
      <c r="E351" s="17">
        <v>0.1</v>
      </c>
      <c r="F351" s="17">
        <v>1.56</v>
      </c>
      <c r="G351" s="22">
        <f t="shared" si="5"/>
        <v>13.280000000000001</v>
      </c>
      <c r="H351" s="11" t="s">
        <v>204</v>
      </c>
      <c r="I351" s="24" t="str">
        <f>IFERROR(VLOOKUP($H351,'[1]Actual &amp; PO  Analysis 2020'!$A$4:$BJ$300,62,0),"")</f>
        <v>0</v>
      </c>
      <c r="J351" s="24">
        <f>IFERROR(VLOOKUP($H351,'[1]Actual &amp; PO  Analysis 2020'!$A$4:$BP$300,68,0),"")</f>
        <v>5.2565000000000008</v>
      </c>
      <c r="K351" s="24">
        <f>IFERROR(VLOOKUP($H351,'[1]Actual &amp; PO  Analysis 2020'!$A$4:$BV$300,74,0),"")</f>
        <v>7.23</v>
      </c>
      <c r="L351" s="24">
        <f>IFERROR(VLOOKUP($H351,'[1]Actual &amp; PO  Analysis 2020'!$A$4:$CB$300,80,0),"")</f>
        <v>0.17349999999999999</v>
      </c>
      <c r="M351" s="24">
        <f>IFERROR(VLOOKUP($H351,'[1]Actual &amp; PO  Analysis 2020'!$A$4:$CH$300,86,0),"")</f>
        <v>1.2355</v>
      </c>
      <c r="N351" s="25">
        <v>13.369</v>
      </c>
    </row>
    <row r="352" spans="1:14" x14ac:dyDescent="0.25">
      <c r="A352" s="11" t="s">
        <v>417</v>
      </c>
      <c r="B352" s="17">
        <v>0</v>
      </c>
      <c r="C352" s="17">
        <v>5.52</v>
      </c>
      <c r="D352" s="17">
        <v>3.79</v>
      </c>
      <c r="E352" s="17">
        <v>0.1</v>
      </c>
      <c r="F352" s="17">
        <v>0.96</v>
      </c>
      <c r="G352" s="22">
        <f t="shared" si="5"/>
        <v>10.369999999999997</v>
      </c>
      <c r="H352" s="11" t="s">
        <v>237</v>
      </c>
      <c r="I352" s="24" t="str">
        <f>IFERROR(VLOOKUP($H352,'[1]Actual &amp; PO  Analysis 2020'!$A$4:$BJ$300,62,0),"")</f>
        <v>0</v>
      </c>
      <c r="J352" s="24">
        <f>IFERROR(VLOOKUP($H352,'[1]Actual &amp; PO  Analysis 2020'!$A$4:$BP$300,68,0),"")</f>
        <v>9.8281999999999989</v>
      </c>
      <c r="K352" s="24">
        <f>IFERROR(VLOOKUP($H352,'[1]Actual &amp; PO  Analysis 2020'!$A$4:$BV$300,74,0),"")</f>
        <v>7.6207499999999992</v>
      </c>
      <c r="L352" s="24">
        <f>IFERROR(VLOOKUP($H352,'[1]Actual &amp; PO  Analysis 2020'!$A$4:$CB$300,80,0),"")</f>
        <v>0.17899999999999999</v>
      </c>
      <c r="M352" s="24">
        <f>IFERROR(VLOOKUP($H352,'[1]Actual &amp; PO  Analysis 2020'!$A$4:$CH$300,86,0),"")</f>
        <v>1.4293333333333333</v>
      </c>
      <c r="N352" s="25">
        <v>13.454666666666668</v>
      </c>
    </row>
    <row r="353" spans="1:14" x14ac:dyDescent="0.25">
      <c r="A353" s="11" t="s">
        <v>223</v>
      </c>
      <c r="B353" s="17">
        <v>0</v>
      </c>
      <c r="C353" s="17">
        <v>7.516</v>
      </c>
      <c r="D353" s="17">
        <v>5.5869999999999997</v>
      </c>
      <c r="E353" s="17">
        <v>0.153</v>
      </c>
      <c r="F353" s="17">
        <v>2.0209999999999999</v>
      </c>
      <c r="G353" s="22">
        <f t="shared" si="5"/>
        <v>15.277000000000001</v>
      </c>
      <c r="H353" s="11" t="s">
        <v>151</v>
      </c>
      <c r="I353" s="24" t="str">
        <f>IFERROR(VLOOKUP($H353,'[1]Actual &amp; PO  Analysis 2020'!$A$4:$BJ$300,62,0),"")</f>
        <v/>
      </c>
      <c r="J353" s="24" t="str">
        <f>IFERROR(VLOOKUP($H353,'[1]Actual &amp; PO  Analysis 2020'!$A$4:$BP$300,68,0),"")</f>
        <v/>
      </c>
      <c r="K353" s="24" t="str">
        <f>IFERROR(VLOOKUP($H353,'[1]Actual &amp; PO  Analysis 2020'!$A$4:$BV$300,74,0),"")</f>
        <v/>
      </c>
      <c r="L353" s="24" t="str">
        <f>IFERROR(VLOOKUP($H353,'[1]Actual &amp; PO  Analysis 2020'!$A$4:$CB$300,80,0),"")</f>
        <v/>
      </c>
      <c r="M353" s="24" t="str">
        <f>IFERROR(VLOOKUP($H353,'[1]Actual &amp; PO  Analysis 2020'!$A$4:$CH$300,86,0),"")</f>
        <v/>
      </c>
      <c r="N353" s="25">
        <v>0</v>
      </c>
    </row>
    <row r="354" spans="1:14" x14ac:dyDescent="0.25">
      <c r="A354" s="11" t="s">
        <v>166</v>
      </c>
      <c r="B354" s="17">
        <v>0</v>
      </c>
      <c r="C354" s="17">
        <v>0.52</v>
      </c>
      <c r="D354" s="17">
        <v>1.423</v>
      </c>
      <c r="E354" s="17">
        <v>-3.8000000000000006E-2</v>
      </c>
      <c r="F354" s="17">
        <v>0.59499999999999997</v>
      </c>
      <c r="G354" s="22">
        <f t="shared" si="5"/>
        <v>2.5</v>
      </c>
      <c r="H354" s="11" t="s">
        <v>153</v>
      </c>
      <c r="I354" s="24" t="str">
        <f>IFERROR(VLOOKUP($H354,'[1]Actual &amp; PO  Analysis 2020'!$A$4:$BJ$300,62,0),"")</f>
        <v/>
      </c>
      <c r="J354" s="24" t="str">
        <f>IFERROR(VLOOKUP($H354,'[1]Actual &amp; PO  Analysis 2020'!$A$4:$BP$300,68,0),"")</f>
        <v/>
      </c>
      <c r="K354" s="24" t="str">
        <f>IFERROR(VLOOKUP($H354,'[1]Actual &amp; PO  Analysis 2020'!$A$4:$BV$300,74,0),"")</f>
        <v/>
      </c>
      <c r="L354" s="24" t="str">
        <f>IFERROR(VLOOKUP($H354,'[1]Actual &amp; PO  Analysis 2020'!$A$4:$CB$300,80,0),"")</f>
        <v/>
      </c>
      <c r="M354" s="24" t="str">
        <f>IFERROR(VLOOKUP($H354,'[1]Actual &amp; PO  Analysis 2020'!$A$4:$CH$300,86,0),"")</f>
        <v/>
      </c>
      <c r="N354" s="25">
        <v>0</v>
      </c>
    </row>
    <row r="355" spans="1:14" x14ac:dyDescent="0.25">
      <c r="A355" s="11" t="s">
        <v>228</v>
      </c>
      <c r="B355" s="17">
        <v>0</v>
      </c>
      <c r="C355" s="17">
        <v>1.613</v>
      </c>
      <c r="D355" s="17">
        <v>2.0629999999999997</v>
      </c>
      <c r="E355" s="17">
        <v>0.105</v>
      </c>
      <c r="F355" s="17">
        <v>0.84799999999999998</v>
      </c>
      <c r="G355" s="22">
        <f t="shared" si="5"/>
        <v>4.6289999999999996</v>
      </c>
      <c r="H355" s="11" t="s">
        <v>383</v>
      </c>
      <c r="I355" s="24" t="str">
        <f>IFERROR(VLOOKUP($H355,'[1]Actual &amp; PO  Analysis 2020'!$A$4:$BJ$300,62,0),"")</f>
        <v>0</v>
      </c>
      <c r="J355" s="24">
        <f>IFERROR(VLOOKUP($H355,'[1]Actual &amp; PO  Analysis 2020'!$A$4:$BP$300,68,0),"")</f>
        <v>7.2297500000000001</v>
      </c>
      <c r="K355" s="24">
        <f>IFERROR(VLOOKUP($H355,'[1]Actual &amp; PO  Analysis 2020'!$A$4:$BV$300,74,0),"")</f>
        <v>4.7824</v>
      </c>
      <c r="L355" s="24">
        <f>IFERROR(VLOOKUP($H355,'[1]Actual &amp; PO  Analysis 2020'!$A$4:$CB$300,80,0),"")</f>
        <v>0.16999999999999998</v>
      </c>
      <c r="M355" s="24">
        <f>IFERROR(VLOOKUP($H355,'[1]Actual &amp; PO  Analysis 2020'!$A$4:$CH$300,86,0),"")</f>
        <v>2.3685</v>
      </c>
      <c r="N355" s="25">
        <v>6.8839999999999986</v>
      </c>
    </row>
    <row r="356" spans="1:14" x14ac:dyDescent="0.25">
      <c r="A356" s="11" t="s">
        <v>229</v>
      </c>
      <c r="B356" s="17">
        <v>0</v>
      </c>
      <c r="C356" s="17">
        <v>10.343</v>
      </c>
      <c r="D356" s="17">
        <v>4.2409999999999997</v>
      </c>
      <c r="E356" s="17">
        <v>0.10100000000000001</v>
      </c>
      <c r="F356" s="17">
        <v>0.84199999999999997</v>
      </c>
      <c r="G356" s="22">
        <f t="shared" si="5"/>
        <v>15.527000000000001</v>
      </c>
      <c r="H356" s="11" t="s">
        <v>417</v>
      </c>
      <c r="I356" s="24" t="str">
        <f>IFERROR(VLOOKUP($H356,'[1]Actual &amp; PO  Analysis 2020'!$A$4:$BJ$300,62,0),"")</f>
        <v>0</v>
      </c>
      <c r="J356" s="24">
        <f>IFERROR(VLOOKUP($H356,'[1]Actual &amp; PO  Analysis 2020'!$A$4:$BP$300,68,0),"")</f>
        <v>5.5555000000000003</v>
      </c>
      <c r="K356" s="24">
        <f>IFERROR(VLOOKUP($H356,'[1]Actual &amp; PO  Analysis 2020'!$A$4:$BV$300,74,0),"")</f>
        <v>9.6715</v>
      </c>
      <c r="L356" s="24">
        <f>IFERROR(VLOOKUP($H356,'[1]Actual &amp; PO  Analysis 2020'!$A$4:$CB$300,80,0),"")</f>
        <v>0.17249999999999999</v>
      </c>
      <c r="M356" s="24">
        <f>IFERROR(VLOOKUP($H356,'[1]Actual &amp; PO  Analysis 2020'!$A$4:$CH$300,86,0),"")</f>
        <v>3.3605</v>
      </c>
      <c r="N356" s="25">
        <v>17.488500000000002</v>
      </c>
    </row>
    <row r="357" spans="1:14" x14ac:dyDescent="0.25">
      <c r="A357" s="11" t="s">
        <v>230</v>
      </c>
      <c r="B357" s="17">
        <v>0</v>
      </c>
      <c r="C357" s="17">
        <v>9.1230000000000011</v>
      </c>
      <c r="D357" s="17">
        <v>4.22</v>
      </c>
      <c r="E357" s="17">
        <v>0.1</v>
      </c>
      <c r="F357" s="17">
        <v>0.5</v>
      </c>
      <c r="G357" s="22">
        <f t="shared" si="5"/>
        <v>13.943</v>
      </c>
      <c r="H357" s="11" t="s">
        <v>223</v>
      </c>
      <c r="I357" s="24" t="str">
        <f>IFERROR(VLOOKUP($H357,'[1]Actual &amp; PO  Analysis 2020'!$A$4:$BJ$300,62,0),"")</f>
        <v>0</v>
      </c>
      <c r="J357" s="24">
        <f>IFERROR(VLOOKUP($H357,'[1]Actual &amp; PO  Analysis 2020'!$A$4:$BP$300,68,0),"")</f>
        <v>7.1414999999999997</v>
      </c>
      <c r="K357" s="24">
        <f>IFERROR(VLOOKUP($H357,'[1]Actual &amp; PO  Analysis 2020'!$A$4:$BV$300,74,0),"")</f>
        <v>5.5815000000000001</v>
      </c>
      <c r="L357" s="24">
        <f>IFERROR(VLOOKUP($H357,'[1]Actual &amp; PO  Analysis 2020'!$A$4:$CB$300,80,0),"")</f>
        <v>0.14900000000000002</v>
      </c>
      <c r="M357" s="24">
        <f>IFERROR(VLOOKUP($H357,'[1]Actual &amp; PO  Analysis 2020'!$A$4:$CH$300,86,0),"")</f>
        <v>1.5865</v>
      </c>
      <c r="N357" s="25">
        <v>15.418999999999999</v>
      </c>
    </row>
    <row r="358" spans="1:14" x14ac:dyDescent="0.25">
      <c r="A358" s="11" t="s">
        <v>246</v>
      </c>
      <c r="B358" s="17">
        <v>0</v>
      </c>
      <c r="C358" s="17">
        <v>3.6</v>
      </c>
      <c r="D358" s="17">
        <v>3.4000000000000004</v>
      </c>
      <c r="E358" s="17">
        <v>0.1</v>
      </c>
      <c r="F358" s="17">
        <v>0.99</v>
      </c>
      <c r="G358" s="22">
        <f t="shared" si="5"/>
        <v>8.09</v>
      </c>
      <c r="H358" s="11" t="s">
        <v>166</v>
      </c>
      <c r="I358" s="24" t="str">
        <f>IFERROR(VLOOKUP($H358,'[1]Actual &amp; PO  Analysis 2020'!$A$4:$BJ$300,62,0),"")</f>
        <v/>
      </c>
      <c r="J358" s="24" t="str">
        <f>IFERROR(VLOOKUP($H358,'[1]Actual &amp; PO  Analysis 2020'!$A$4:$BP$300,68,0),"")</f>
        <v/>
      </c>
      <c r="K358" s="24" t="str">
        <f>IFERROR(VLOOKUP($H358,'[1]Actual &amp; PO  Analysis 2020'!$A$4:$BV$300,74,0),"")</f>
        <v/>
      </c>
      <c r="L358" s="24" t="str">
        <f>IFERROR(VLOOKUP($H358,'[1]Actual &amp; PO  Analysis 2020'!$A$4:$CB$300,80,0),"")</f>
        <v/>
      </c>
      <c r="M358" s="24" t="str">
        <f>IFERROR(VLOOKUP($H358,'[1]Actual &amp; PO  Analysis 2020'!$A$4:$CH$300,86,0),"")</f>
        <v/>
      </c>
      <c r="N358" s="25">
        <v>0</v>
      </c>
    </row>
    <row r="359" spans="1:14" x14ac:dyDescent="0.25">
      <c r="A359" s="11" t="s">
        <v>174</v>
      </c>
      <c r="B359" s="17">
        <v>0</v>
      </c>
      <c r="C359" s="17">
        <v>2.617</v>
      </c>
      <c r="D359" s="17">
        <v>1.8359999999999999</v>
      </c>
      <c r="E359" s="17">
        <v>7.0000000000000007E-2</v>
      </c>
      <c r="F359" s="17">
        <v>0.48499999999999999</v>
      </c>
      <c r="G359" s="22">
        <f t="shared" si="5"/>
        <v>5.008</v>
      </c>
      <c r="H359" s="11" t="s">
        <v>228</v>
      </c>
      <c r="I359" s="24" t="str">
        <f>IFERROR(VLOOKUP($H359,'[1]Actual &amp; PO  Analysis 2020'!$A$4:$BJ$300,62,0),"")</f>
        <v>0</v>
      </c>
      <c r="J359" s="24">
        <f>IFERROR(VLOOKUP($H359,'[1]Actual &amp; PO  Analysis 2020'!$A$4:$BP$300,68,0),"")</f>
        <v>1.6850000000000001</v>
      </c>
      <c r="K359" s="24">
        <f>IFERROR(VLOOKUP($H359,'[1]Actual &amp; PO  Analysis 2020'!$A$4:$BV$300,74,0),"")</f>
        <v>2.8085</v>
      </c>
      <c r="L359" s="24">
        <f>IFERROR(VLOOKUP($H359,'[1]Actual &amp; PO  Analysis 2020'!$A$4:$CB$300,80,0),"")</f>
        <v>0.1555</v>
      </c>
      <c r="M359" s="24">
        <f>IFERROR(VLOOKUP($H359,'[1]Actual &amp; PO  Analysis 2020'!$A$4:$CH$300,86,0),"")</f>
        <v>1.5005000000000002</v>
      </c>
      <c r="N359" s="25">
        <v>14.659083333333331</v>
      </c>
    </row>
    <row r="360" spans="1:14" x14ac:dyDescent="0.25">
      <c r="A360" s="11" t="s">
        <v>382</v>
      </c>
      <c r="B360" s="17">
        <v>0</v>
      </c>
      <c r="C360" s="17">
        <v>4.17</v>
      </c>
      <c r="D360" s="17">
        <v>3.8000000000000003</v>
      </c>
      <c r="E360" s="17">
        <v>0.1</v>
      </c>
      <c r="F360" s="17">
        <v>1.1200000000000001</v>
      </c>
      <c r="G360" s="22">
        <f t="shared" si="5"/>
        <v>9.1900000000000013</v>
      </c>
      <c r="H360" s="11" t="s">
        <v>229</v>
      </c>
      <c r="I360" s="24" t="str">
        <f>IFERROR(VLOOKUP($H360,'[1]Actual &amp; PO  Analysis 2020'!$A$4:$BJ$300,62,0),"")</f>
        <v>0</v>
      </c>
      <c r="J360" s="24">
        <f>IFERROR(VLOOKUP($H360,'[1]Actual &amp; PO  Analysis 2020'!$A$4:$BP$300,68,0),"")</f>
        <v>5.3135000000000003</v>
      </c>
      <c r="K360" s="24">
        <f>IFERROR(VLOOKUP($H360,'[1]Actual &amp; PO  Analysis 2020'!$A$4:$BV$300,74,0),"")</f>
        <v>5.0549999999999997</v>
      </c>
      <c r="L360" s="24">
        <f>IFERROR(VLOOKUP($H360,'[1]Actual &amp; PO  Analysis 2020'!$A$4:$CB$300,80,0),"")</f>
        <v>0.188</v>
      </c>
      <c r="M360" s="24">
        <f>IFERROR(VLOOKUP($H360,'[1]Actual &amp; PO  Analysis 2020'!$A$4:$CH$300,86,0),"")</f>
        <v>2.8519999999999999</v>
      </c>
      <c r="N360" s="25">
        <v>19.249000000000002</v>
      </c>
    </row>
    <row r="361" spans="1:14" x14ac:dyDescent="0.25">
      <c r="A361" s="11" t="s">
        <v>306</v>
      </c>
      <c r="B361" s="17">
        <v>0</v>
      </c>
      <c r="C361" s="17">
        <v>6.59</v>
      </c>
      <c r="D361" s="17">
        <v>8.31</v>
      </c>
      <c r="E361" s="17">
        <v>0.1</v>
      </c>
      <c r="F361" s="17">
        <v>1.3</v>
      </c>
      <c r="G361" s="22">
        <f t="shared" si="5"/>
        <v>16.3</v>
      </c>
      <c r="H361" s="11" t="s">
        <v>230</v>
      </c>
      <c r="I361" s="24" t="str">
        <f>IFERROR(VLOOKUP($H361,'[1]Actual &amp; PO  Analysis 2020'!$A$4:$BJ$300,62,0),"")</f>
        <v>0</v>
      </c>
      <c r="J361" s="24">
        <f>IFERROR(VLOOKUP($H361,'[1]Actual &amp; PO  Analysis 2020'!$A$4:$BP$300,68,0),"")</f>
        <v>3.00725</v>
      </c>
      <c r="K361" s="24">
        <f>IFERROR(VLOOKUP($H361,'[1]Actual &amp; PO  Analysis 2020'!$A$4:$BV$300,74,0),"")</f>
        <v>7.3263999999999996</v>
      </c>
      <c r="L361" s="24">
        <f>IFERROR(VLOOKUP($H361,'[1]Actual &amp; PO  Analysis 2020'!$A$4:$CB$300,80,0),"")</f>
        <v>0.15920000000000004</v>
      </c>
      <c r="M361" s="24">
        <f>IFERROR(VLOOKUP($H361,'[1]Actual &amp; PO  Analysis 2020'!$A$4:$CH$300,86,0),"")</f>
        <v>2.4170000000000003</v>
      </c>
      <c r="N361" s="25">
        <v>7.1213333333333342</v>
      </c>
    </row>
    <row r="362" spans="1:14" x14ac:dyDescent="0.25">
      <c r="A362" s="11" t="s">
        <v>180</v>
      </c>
      <c r="B362" s="17">
        <v>0</v>
      </c>
      <c r="C362" s="17">
        <v>1.45</v>
      </c>
      <c r="D362" s="17">
        <v>2.35</v>
      </c>
      <c r="E362" s="17">
        <v>0.1</v>
      </c>
      <c r="F362" s="17">
        <v>0.81</v>
      </c>
      <c r="G362" s="22">
        <f t="shared" si="5"/>
        <v>4.71</v>
      </c>
      <c r="H362" s="11" t="s">
        <v>246</v>
      </c>
      <c r="I362" s="24" t="str">
        <f>IFERROR(VLOOKUP($H362,'[1]Actual &amp; PO  Analysis 2020'!$A$4:$BJ$300,62,0),"")</f>
        <v/>
      </c>
      <c r="J362" s="24" t="str">
        <f>IFERROR(VLOOKUP($H362,'[1]Actual &amp; PO  Analysis 2020'!$A$4:$BP$300,68,0),"")</f>
        <v/>
      </c>
      <c r="K362" s="24" t="str">
        <f>IFERROR(VLOOKUP($H362,'[1]Actual &amp; PO  Analysis 2020'!$A$4:$BV$300,74,0),"")</f>
        <v/>
      </c>
      <c r="L362" s="24" t="str">
        <f>IFERROR(VLOOKUP($H362,'[1]Actual &amp; PO  Analysis 2020'!$A$4:$CB$300,80,0),"")</f>
        <v/>
      </c>
      <c r="M362" s="24" t="str">
        <f>IFERROR(VLOOKUP($H362,'[1]Actual &amp; PO  Analysis 2020'!$A$4:$CH$300,86,0),"")</f>
        <v/>
      </c>
      <c r="N362" s="25">
        <v>0</v>
      </c>
    </row>
    <row r="363" spans="1:14" x14ac:dyDescent="0.25">
      <c r="A363" s="11" t="s">
        <v>299</v>
      </c>
      <c r="B363" s="17">
        <v>0</v>
      </c>
      <c r="C363" s="17">
        <v>3.6</v>
      </c>
      <c r="D363" s="17">
        <v>3.54</v>
      </c>
      <c r="E363" s="17">
        <v>0.1</v>
      </c>
      <c r="F363" s="17">
        <v>1.08</v>
      </c>
      <c r="G363" s="22">
        <f t="shared" si="5"/>
        <v>8.32</v>
      </c>
      <c r="H363" s="11" t="s">
        <v>174</v>
      </c>
      <c r="I363" s="24" t="str">
        <f>IFERROR(VLOOKUP($H363,'[1]Actual &amp; PO  Analysis 2020'!$A$4:$BJ$300,62,0),"")</f>
        <v>0</v>
      </c>
      <c r="J363" s="24">
        <f>IFERROR(VLOOKUP($H363,'[1]Actual &amp; PO  Analysis 2020'!$A$4:$BP$300,68,0),"")</f>
        <v>2.5310000000000001</v>
      </c>
      <c r="K363" s="24">
        <f>IFERROR(VLOOKUP($H363,'[1]Actual &amp; PO  Analysis 2020'!$A$4:$BV$300,74,0),"")</f>
        <v>2.7305000000000001</v>
      </c>
      <c r="L363" s="24">
        <f>IFERROR(VLOOKUP($H363,'[1]Actual &amp; PO  Analysis 2020'!$A$4:$CB$300,80,0),"")</f>
        <v>0.16799999999999998</v>
      </c>
      <c r="M363" s="24">
        <f>IFERROR(VLOOKUP($H363,'[1]Actual &amp; PO  Analysis 2020'!$A$4:$CH$300,86,0),"")</f>
        <v>0.89649999999999996</v>
      </c>
      <c r="N363" s="25">
        <v>5.9279999999999999</v>
      </c>
    </row>
    <row r="364" spans="1:14" x14ac:dyDescent="0.25">
      <c r="A364" s="11" t="s">
        <v>247</v>
      </c>
      <c r="B364" s="17">
        <v>0</v>
      </c>
      <c r="C364" s="17">
        <v>4.91</v>
      </c>
      <c r="D364" s="17">
        <v>4.4800000000000004</v>
      </c>
      <c r="E364" s="17">
        <v>0.1</v>
      </c>
      <c r="F364" s="17">
        <v>1.98</v>
      </c>
      <c r="G364" s="22">
        <f t="shared" si="5"/>
        <v>11.47</v>
      </c>
      <c r="H364" s="11" t="s">
        <v>382</v>
      </c>
      <c r="I364" s="24" t="str">
        <f>IFERROR(VLOOKUP($H364,'[1]Actual &amp; PO  Analysis 2020'!$A$4:$BJ$300,62,0),"")</f>
        <v>0</v>
      </c>
      <c r="J364" s="24">
        <f>IFERROR(VLOOKUP($H364,'[1]Actual &amp; PO  Analysis 2020'!$A$4:$BP$300,68,0),"")</f>
        <v>3.19075</v>
      </c>
      <c r="K364" s="24">
        <f>IFERROR(VLOOKUP($H364,'[1]Actual &amp; PO  Analysis 2020'!$A$4:$BV$300,74,0),"")</f>
        <v>5.448666666666667</v>
      </c>
      <c r="L364" s="24">
        <f>IFERROR(VLOOKUP($H364,'[1]Actual &amp; PO  Analysis 2020'!$A$4:$CB$300,80,0),"")</f>
        <v>0.21099999999999999</v>
      </c>
      <c r="M364" s="24">
        <f>IFERROR(VLOOKUP($H364,'[1]Actual &amp; PO  Analysis 2020'!$A$4:$CH$300,86,0),"")</f>
        <v>1.1124999999999998</v>
      </c>
      <c r="N364" s="25">
        <v>9.1624999999999996</v>
      </c>
    </row>
    <row r="365" spans="1:14" x14ac:dyDescent="0.25">
      <c r="A365" s="11" t="s">
        <v>248</v>
      </c>
      <c r="B365" s="17">
        <v>0</v>
      </c>
      <c r="C365" s="17">
        <v>4.91</v>
      </c>
      <c r="D365" s="17">
        <v>4.4800000000000004</v>
      </c>
      <c r="E365" s="17">
        <v>0.1</v>
      </c>
      <c r="F365" s="17">
        <v>1.98</v>
      </c>
      <c r="G365" s="22">
        <f t="shared" si="5"/>
        <v>11.47</v>
      </c>
      <c r="H365" s="11" t="s">
        <v>306</v>
      </c>
      <c r="I365" s="24" t="str">
        <f>IFERROR(VLOOKUP($H365,'[1]Actual &amp; PO  Analysis 2020'!$A$4:$BJ$300,62,0),"")</f>
        <v/>
      </c>
      <c r="J365" s="24" t="str">
        <f>IFERROR(VLOOKUP($H365,'[1]Actual &amp; PO  Analysis 2020'!$A$4:$BP$300,68,0),"")</f>
        <v/>
      </c>
      <c r="K365" s="24" t="str">
        <f>IFERROR(VLOOKUP($H365,'[1]Actual &amp; PO  Analysis 2020'!$A$4:$BV$300,74,0),"")</f>
        <v/>
      </c>
      <c r="L365" s="24" t="str">
        <f>IFERROR(VLOOKUP($H365,'[1]Actual &amp; PO  Analysis 2020'!$A$4:$CB$300,80,0),"")</f>
        <v/>
      </c>
      <c r="M365" s="24" t="str">
        <f>IFERROR(VLOOKUP($H365,'[1]Actual &amp; PO  Analysis 2020'!$A$4:$CH$300,86,0),"")</f>
        <v/>
      </c>
      <c r="N365" s="25">
        <v>0</v>
      </c>
    </row>
    <row r="366" spans="1:14" x14ac:dyDescent="0.25">
      <c r="A366" s="11" t="s">
        <v>181</v>
      </c>
      <c r="B366" s="17">
        <v>0</v>
      </c>
      <c r="C366" s="17">
        <v>2.16</v>
      </c>
      <c r="D366" s="17">
        <v>2.9299999999999997</v>
      </c>
      <c r="E366" s="17">
        <v>0.1</v>
      </c>
      <c r="F366" s="17">
        <v>0.72</v>
      </c>
      <c r="G366" s="22">
        <f t="shared" si="5"/>
        <v>5.9099999999999993</v>
      </c>
      <c r="H366" s="11" t="s">
        <v>180</v>
      </c>
      <c r="I366" s="24" t="str">
        <f>IFERROR(VLOOKUP($H366,'[1]Actual &amp; PO  Analysis 2020'!$A$4:$BJ$300,62,0),"")</f>
        <v/>
      </c>
      <c r="J366" s="24" t="str">
        <f>IFERROR(VLOOKUP($H366,'[1]Actual &amp; PO  Analysis 2020'!$A$4:$BP$300,68,0),"")</f>
        <v/>
      </c>
      <c r="K366" s="24" t="str">
        <f>IFERROR(VLOOKUP($H366,'[1]Actual &amp; PO  Analysis 2020'!$A$4:$BV$300,74,0),"")</f>
        <v/>
      </c>
      <c r="L366" s="24" t="str">
        <f>IFERROR(VLOOKUP($H366,'[1]Actual &amp; PO  Analysis 2020'!$A$4:$CB$300,80,0),"")</f>
        <v/>
      </c>
      <c r="M366" s="24" t="str">
        <f>IFERROR(VLOOKUP($H366,'[1]Actual &amp; PO  Analysis 2020'!$A$4:$CH$300,86,0),"")</f>
        <v/>
      </c>
      <c r="N366" s="25">
        <v>0</v>
      </c>
    </row>
    <row r="367" spans="1:14" x14ac:dyDescent="0.25">
      <c r="A367" s="11" t="s">
        <v>182</v>
      </c>
      <c r="B367" s="17">
        <v>0</v>
      </c>
      <c r="C367" s="17">
        <v>3.34</v>
      </c>
      <c r="D367" s="17">
        <v>2.7</v>
      </c>
      <c r="E367" s="17">
        <v>0.1</v>
      </c>
      <c r="F367" s="17">
        <v>1.08</v>
      </c>
      <c r="G367" s="22">
        <f t="shared" si="5"/>
        <v>7.22</v>
      </c>
      <c r="H367" s="11" t="s">
        <v>299</v>
      </c>
      <c r="I367" s="24" t="str">
        <f>IFERROR(VLOOKUP($H367,'[1]Actual &amp; PO  Analysis 2020'!$A$4:$BJ$300,62,0),"")</f>
        <v/>
      </c>
      <c r="J367" s="24" t="str">
        <f>IFERROR(VLOOKUP($H367,'[1]Actual &amp; PO  Analysis 2020'!$A$4:$BP$300,68,0),"")</f>
        <v/>
      </c>
      <c r="K367" s="24" t="str">
        <f>IFERROR(VLOOKUP($H367,'[1]Actual &amp; PO  Analysis 2020'!$A$4:$BV$300,74,0),"")</f>
        <v/>
      </c>
      <c r="L367" s="24" t="str">
        <f>IFERROR(VLOOKUP($H367,'[1]Actual &amp; PO  Analysis 2020'!$A$4:$CB$300,80,0),"")</f>
        <v/>
      </c>
      <c r="M367" s="24" t="str">
        <f>IFERROR(VLOOKUP($H367,'[1]Actual &amp; PO  Analysis 2020'!$A$4:$CH$300,86,0),"")</f>
        <v/>
      </c>
      <c r="N367" s="25">
        <v>0</v>
      </c>
    </row>
    <row r="368" spans="1:14" x14ac:dyDescent="0.25">
      <c r="A368" s="11" t="s">
        <v>347</v>
      </c>
      <c r="B368" s="17">
        <v>0</v>
      </c>
      <c r="C368" s="17">
        <v>0.749</v>
      </c>
      <c r="D368" s="17">
        <v>0.88900000000000001</v>
      </c>
      <c r="E368" s="17">
        <v>3.4000000000000002E-2</v>
      </c>
      <c r="F368" s="17">
        <v>0.23100000000000001</v>
      </c>
      <c r="G368" s="22">
        <f t="shared" si="5"/>
        <v>1.903</v>
      </c>
      <c r="H368" s="11" t="s">
        <v>247</v>
      </c>
      <c r="I368" s="24" t="str">
        <f>IFERROR(VLOOKUP($H368,'[1]Actual &amp; PO  Analysis 2020'!$A$4:$BJ$300,62,0),"")</f>
        <v>0</v>
      </c>
      <c r="J368" s="24">
        <f>IFERROR(VLOOKUP($H368,'[1]Actual &amp; PO  Analysis 2020'!$A$4:$BP$300,68,0),"")</f>
        <v>8.25</v>
      </c>
      <c r="K368" s="24" t="str">
        <f>IFERROR(VLOOKUP($H368,'[1]Actual &amp; PO  Analysis 2020'!$A$4:$BV$300,74,0),"")</f>
        <v>0</v>
      </c>
      <c r="L368" s="24" t="str">
        <f>IFERROR(VLOOKUP($H368,'[1]Actual &amp; PO  Analysis 2020'!$A$4:$CB$300,80,0),"")</f>
        <v>0</v>
      </c>
      <c r="M368" s="24" t="str">
        <f>IFERROR(VLOOKUP($H368,'[1]Actual &amp; PO  Analysis 2020'!$A$4:$CH$300,86,0),"")</f>
        <v>0</v>
      </c>
      <c r="N368" s="25">
        <v>8.25</v>
      </c>
    </row>
    <row r="369" spans="1:14" x14ac:dyDescent="0.25">
      <c r="A369" s="11" t="s">
        <v>183</v>
      </c>
      <c r="B369" s="17">
        <v>0</v>
      </c>
      <c r="C369" s="17">
        <v>2.9039999999999999</v>
      </c>
      <c r="D369" s="17">
        <v>0.36935999999999997</v>
      </c>
      <c r="E369" s="17">
        <v>0.108</v>
      </c>
      <c r="F369" s="17">
        <v>1.28</v>
      </c>
      <c r="G369" s="22">
        <f t="shared" si="5"/>
        <v>4.6613600000000002</v>
      </c>
      <c r="H369" s="11" t="s">
        <v>248</v>
      </c>
      <c r="I369" s="24" t="str">
        <f>IFERROR(VLOOKUP($H369,'[1]Actual &amp; PO  Analysis 2020'!$A$4:$BJ$300,62,0),"")</f>
        <v>0</v>
      </c>
      <c r="J369" s="24">
        <f>IFERROR(VLOOKUP($H369,'[1]Actual &amp; PO  Analysis 2020'!$A$4:$BP$300,68,0),"")</f>
        <v>6.8579999999999997</v>
      </c>
      <c r="K369" s="24">
        <f>IFERROR(VLOOKUP($H369,'[1]Actual &amp; PO  Analysis 2020'!$A$4:$BV$300,74,0),"")</f>
        <v>4.032</v>
      </c>
      <c r="L369" s="24">
        <f>IFERROR(VLOOKUP($H369,'[1]Actual &amp; PO  Analysis 2020'!$A$4:$CB$300,80,0),"")</f>
        <v>0.17599999999999999</v>
      </c>
      <c r="M369" s="24">
        <f>IFERROR(VLOOKUP($H369,'[1]Actual &amp; PO  Analysis 2020'!$A$4:$CH$300,86,0),"")</f>
        <v>1.6905000000000001</v>
      </c>
      <c r="N369" s="25">
        <v>11.497999999999999</v>
      </c>
    </row>
    <row r="370" spans="1:14" x14ac:dyDescent="0.25">
      <c r="A370" s="11" t="s">
        <v>307</v>
      </c>
      <c r="B370" s="17">
        <v>0</v>
      </c>
      <c r="C370" s="17">
        <v>6.28</v>
      </c>
      <c r="D370" s="17">
        <v>7.3900000000000006</v>
      </c>
      <c r="E370" s="17">
        <v>0.1</v>
      </c>
      <c r="F370" s="17">
        <v>1.3</v>
      </c>
      <c r="G370" s="22">
        <f t="shared" si="5"/>
        <v>15.070000000000002</v>
      </c>
      <c r="H370" s="11" t="s">
        <v>181</v>
      </c>
      <c r="I370" s="24" t="str">
        <f>IFERROR(VLOOKUP($H370,'[1]Actual &amp; PO  Analysis 2020'!$A$4:$BJ$300,62,0),"")</f>
        <v/>
      </c>
      <c r="J370" s="24" t="str">
        <f>IFERROR(VLOOKUP($H370,'[1]Actual &amp; PO  Analysis 2020'!$A$4:$BP$300,68,0),"")</f>
        <v/>
      </c>
      <c r="K370" s="24" t="str">
        <f>IFERROR(VLOOKUP($H370,'[1]Actual &amp; PO  Analysis 2020'!$A$4:$BV$300,74,0),"")</f>
        <v/>
      </c>
      <c r="L370" s="24" t="str">
        <f>IFERROR(VLOOKUP($H370,'[1]Actual &amp; PO  Analysis 2020'!$A$4:$CB$300,80,0),"")</f>
        <v/>
      </c>
      <c r="M370" s="24" t="str">
        <f>IFERROR(VLOOKUP($H370,'[1]Actual &amp; PO  Analysis 2020'!$A$4:$CH$300,86,0),"")</f>
        <v/>
      </c>
      <c r="N370" s="25">
        <v>0</v>
      </c>
    </row>
    <row r="371" spans="1:14" x14ac:dyDescent="0.25">
      <c r="A371" s="11" t="s">
        <v>351</v>
      </c>
      <c r="B371" s="17">
        <v>0</v>
      </c>
      <c r="C371" s="17">
        <v>6.28</v>
      </c>
      <c r="D371" s="17">
        <v>7.3900000000000006</v>
      </c>
      <c r="E371" s="17">
        <v>0.1</v>
      </c>
      <c r="F371" s="17">
        <v>1.3</v>
      </c>
      <c r="G371" s="22">
        <f t="shared" si="5"/>
        <v>15.070000000000002</v>
      </c>
      <c r="H371" s="11" t="s">
        <v>182</v>
      </c>
      <c r="I371" s="24" t="str">
        <f>IFERROR(VLOOKUP($H371,'[1]Actual &amp; PO  Analysis 2020'!$A$4:$BJ$300,62,0),"")</f>
        <v/>
      </c>
      <c r="J371" s="24" t="str">
        <f>IFERROR(VLOOKUP($H371,'[1]Actual &amp; PO  Analysis 2020'!$A$4:$BP$300,68,0),"")</f>
        <v/>
      </c>
      <c r="K371" s="24" t="str">
        <f>IFERROR(VLOOKUP($H371,'[1]Actual &amp; PO  Analysis 2020'!$A$4:$BV$300,74,0),"")</f>
        <v/>
      </c>
      <c r="L371" s="24" t="str">
        <f>IFERROR(VLOOKUP($H371,'[1]Actual &amp; PO  Analysis 2020'!$A$4:$CB$300,80,0),"")</f>
        <v/>
      </c>
      <c r="M371" s="24" t="str">
        <f>IFERROR(VLOOKUP($H371,'[1]Actual &amp; PO  Analysis 2020'!$A$4:$CH$300,86,0),"")</f>
        <v/>
      </c>
      <c r="N371" s="25">
        <v>0</v>
      </c>
    </row>
    <row r="372" spans="1:14" x14ac:dyDescent="0.25">
      <c r="A372" s="11" t="s">
        <v>308</v>
      </c>
      <c r="B372" s="17">
        <v>0</v>
      </c>
      <c r="C372" s="17">
        <v>6.28</v>
      </c>
      <c r="D372" s="17">
        <v>7.3900000000000006</v>
      </c>
      <c r="E372" s="17">
        <v>0.1</v>
      </c>
      <c r="F372" s="17">
        <v>1.3</v>
      </c>
      <c r="G372" s="22">
        <f t="shared" si="5"/>
        <v>15.070000000000002</v>
      </c>
      <c r="H372" s="11" t="s">
        <v>347</v>
      </c>
      <c r="I372" s="24" t="str">
        <f>IFERROR(VLOOKUP($H372,'[1]Actual &amp; PO  Analysis 2020'!$A$4:$BJ$300,62,0),"")</f>
        <v/>
      </c>
      <c r="J372" s="24" t="str">
        <f>IFERROR(VLOOKUP($H372,'[1]Actual &amp; PO  Analysis 2020'!$A$4:$BP$300,68,0),"")</f>
        <v/>
      </c>
      <c r="K372" s="24" t="str">
        <f>IFERROR(VLOOKUP($H372,'[1]Actual &amp; PO  Analysis 2020'!$A$4:$BV$300,74,0),"")</f>
        <v/>
      </c>
      <c r="L372" s="24" t="str">
        <f>IFERROR(VLOOKUP($H372,'[1]Actual &amp; PO  Analysis 2020'!$A$4:$CB$300,80,0),"")</f>
        <v/>
      </c>
      <c r="M372" s="24" t="str">
        <f>IFERROR(VLOOKUP($H372,'[1]Actual &amp; PO  Analysis 2020'!$A$4:$CH$300,86,0),"")</f>
        <v/>
      </c>
      <c r="N372" s="25">
        <v>0</v>
      </c>
    </row>
    <row r="373" spans="1:14" x14ac:dyDescent="0.25">
      <c r="A373" s="11" t="s">
        <v>357</v>
      </c>
      <c r="B373" s="17">
        <v>0</v>
      </c>
      <c r="C373" s="17">
        <v>9.1159999999999997</v>
      </c>
      <c r="D373" s="17">
        <v>2.5709999999999997</v>
      </c>
      <c r="E373" s="17">
        <v>6.2E-2</v>
      </c>
      <c r="F373" s="17">
        <v>0.73399999999999999</v>
      </c>
      <c r="G373" s="22">
        <f t="shared" si="5"/>
        <v>12.482999999999999</v>
      </c>
      <c r="H373" s="11" t="s">
        <v>183</v>
      </c>
      <c r="I373" s="24">
        <f>IFERROR(VLOOKUP($H373,'[1]Actual &amp; PO  Analysis 2020'!$A$4:$BJ$300,62,0),"")</f>
        <v>0</v>
      </c>
      <c r="J373" s="24">
        <f>IFERROR(VLOOKUP($H373,'[1]Actual &amp; PO  Analysis 2020'!$A$4:$BP$300,68,0),"")</f>
        <v>0</v>
      </c>
      <c r="K373" s="24">
        <f>IFERROR(VLOOKUP($H373,'[1]Actual &amp; PO  Analysis 2020'!$A$4:$BV$300,74,0),"")</f>
        <v>0</v>
      </c>
      <c r="L373" s="24">
        <f>IFERROR(VLOOKUP($H373,'[1]Actual &amp; PO  Analysis 2020'!$A$4:$CB$300,80,0),"")</f>
        <v>0</v>
      </c>
      <c r="M373" s="24">
        <f>IFERROR(VLOOKUP($H373,'[1]Actual &amp; PO  Analysis 2020'!$A$4:$CH$300,86,0),"")</f>
        <v>0</v>
      </c>
      <c r="N373" s="25">
        <v>0</v>
      </c>
    </row>
    <row r="374" spans="1:14" x14ac:dyDescent="0.25">
      <c r="A374" s="11" t="s">
        <v>354</v>
      </c>
      <c r="B374" s="17">
        <v>0</v>
      </c>
      <c r="C374" s="17">
        <v>4.1500000000000004</v>
      </c>
      <c r="D374" s="17">
        <v>3.37</v>
      </c>
      <c r="E374" s="17">
        <v>0.1</v>
      </c>
      <c r="F374" s="17">
        <v>1.08</v>
      </c>
      <c r="G374" s="22">
        <f t="shared" si="5"/>
        <v>8.6999999999999993</v>
      </c>
      <c r="H374" s="11" t="s">
        <v>307</v>
      </c>
      <c r="I374" s="24" t="str">
        <f>IFERROR(VLOOKUP($H374,'[1]Actual &amp; PO  Analysis 2020'!$A$4:$BJ$300,62,0),"")</f>
        <v/>
      </c>
      <c r="J374" s="24" t="str">
        <f>IFERROR(VLOOKUP($H374,'[1]Actual &amp; PO  Analysis 2020'!$A$4:$BP$300,68,0),"")</f>
        <v/>
      </c>
      <c r="K374" s="24" t="str">
        <f>IFERROR(VLOOKUP($H374,'[1]Actual &amp; PO  Analysis 2020'!$A$4:$BV$300,74,0),"")</f>
        <v/>
      </c>
      <c r="L374" s="24" t="str">
        <f>IFERROR(VLOOKUP($H374,'[1]Actual &amp; PO  Analysis 2020'!$A$4:$CB$300,80,0),"")</f>
        <v/>
      </c>
      <c r="M374" s="24" t="str">
        <f>IFERROR(VLOOKUP($H374,'[1]Actual &amp; PO  Analysis 2020'!$A$4:$CH$300,86,0),"")</f>
        <v/>
      </c>
      <c r="N374" s="25">
        <v>0</v>
      </c>
    </row>
    <row r="375" spans="1:14" x14ac:dyDescent="0.25">
      <c r="A375" s="11" t="s">
        <v>419</v>
      </c>
      <c r="B375" s="17">
        <v>0</v>
      </c>
      <c r="C375" s="17">
        <v>10.073</v>
      </c>
      <c r="D375" s="17">
        <v>3.67</v>
      </c>
      <c r="E375" s="17">
        <v>0.1</v>
      </c>
      <c r="F375" s="17">
        <v>0.72</v>
      </c>
      <c r="G375" s="22">
        <f t="shared" si="5"/>
        <v>14.563000000000001</v>
      </c>
      <c r="H375" s="11" t="s">
        <v>351</v>
      </c>
      <c r="I375" s="24" t="str">
        <f>IFERROR(VLOOKUP($H375,'[1]Actual &amp; PO  Analysis 2020'!$A$4:$BJ$300,62,0),"")</f>
        <v/>
      </c>
      <c r="J375" s="24" t="str">
        <f>IFERROR(VLOOKUP($H375,'[1]Actual &amp; PO  Analysis 2020'!$A$4:$BP$300,68,0),"")</f>
        <v/>
      </c>
      <c r="K375" s="24" t="str">
        <f>IFERROR(VLOOKUP($H375,'[1]Actual &amp; PO  Analysis 2020'!$A$4:$BV$300,74,0),"")</f>
        <v/>
      </c>
      <c r="L375" s="24" t="str">
        <f>IFERROR(VLOOKUP($H375,'[1]Actual &amp; PO  Analysis 2020'!$A$4:$CB$300,80,0),"")</f>
        <v/>
      </c>
      <c r="M375" s="24" t="str">
        <f>IFERROR(VLOOKUP($H375,'[1]Actual &amp; PO  Analysis 2020'!$A$4:$CH$300,86,0),"")</f>
        <v/>
      </c>
      <c r="N375" s="25">
        <v>0</v>
      </c>
    </row>
    <row r="376" spans="1:14" x14ac:dyDescent="0.25">
      <c r="A376" s="11" t="s">
        <v>364</v>
      </c>
      <c r="B376" s="17">
        <v>0</v>
      </c>
      <c r="C376" s="17">
        <v>10.483000000000001</v>
      </c>
      <c r="D376" s="17">
        <v>3.48</v>
      </c>
      <c r="E376" s="17">
        <v>0.1</v>
      </c>
      <c r="F376" s="17">
        <v>1.0900000000000001</v>
      </c>
      <c r="G376" s="22">
        <f t="shared" si="5"/>
        <v>15.153</v>
      </c>
      <c r="H376" s="11" t="s">
        <v>308</v>
      </c>
      <c r="I376" s="24" t="str">
        <f>IFERROR(VLOOKUP($H376,'[1]Actual &amp; PO  Analysis 2020'!$A$4:$BJ$300,62,0),"")</f>
        <v/>
      </c>
      <c r="J376" s="24" t="str">
        <f>IFERROR(VLOOKUP($H376,'[1]Actual &amp; PO  Analysis 2020'!$A$4:$BP$300,68,0),"")</f>
        <v/>
      </c>
      <c r="K376" s="24" t="str">
        <f>IFERROR(VLOOKUP($H376,'[1]Actual &amp; PO  Analysis 2020'!$A$4:$BV$300,74,0),"")</f>
        <v/>
      </c>
      <c r="L376" s="24" t="str">
        <f>IFERROR(VLOOKUP($H376,'[1]Actual &amp; PO  Analysis 2020'!$A$4:$CB$300,80,0),"")</f>
        <v/>
      </c>
      <c r="M376" s="24" t="str">
        <f>IFERROR(VLOOKUP($H376,'[1]Actual &amp; PO  Analysis 2020'!$A$4:$CH$300,86,0),"")</f>
        <v/>
      </c>
      <c r="N376" s="25">
        <v>0</v>
      </c>
    </row>
    <row r="377" spans="1:14" x14ac:dyDescent="0.25">
      <c r="A377" s="11" t="s">
        <v>310</v>
      </c>
      <c r="B377" s="17">
        <v>0</v>
      </c>
      <c r="C377" s="17">
        <v>11.797000000000001</v>
      </c>
      <c r="D377" s="17">
        <v>4.4090000000000007</v>
      </c>
      <c r="E377" s="17">
        <v>0.12</v>
      </c>
      <c r="F377" s="17">
        <v>1.2969999999999999</v>
      </c>
      <c r="G377" s="22">
        <f t="shared" si="5"/>
        <v>17.623000000000005</v>
      </c>
      <c r="H377" s="11" t="s">
        <v>357</v>
      </c>
      <c r="I377" s="24" t="str">
        <f>IFERROR(VLOOKUP($H377,'[1]Actual &amp; PO  Analysis 2020'!$A$4:$BJ$300,62,0),"")</f>
        <v>0</v>
      </c>
      <c r="J377" s="24">
        <f>IFERROR(VLOOKUP($H377,'[1]Actual &amp; PO  Analysis 2020'!$A$4:$BP$300,68,0),"")</f>
        <v>8.0939999999999994</v>
      </c>
      <c r="K377" s="24">
        <f>IFERROR(VLOOKUP($H377,'[1]Actual &amp; PO  Analysis 2020'!$A$4:$BV$300,74,0),"")</f>
        <v>2.8487499999999999</v>
      </c>
      <c r="L377" s="24">
        <f>IFERROR(VLOOKUP($H377,'[1]Actual &amp; PO  Analysis 2020'!$A$4:$CB$300,80,0),"")</f>
        <v>0.18149999999999999</v>
      </c>
      <c r="M377" s="24">
        <f>IFERROR(VLOOKUP($H377,'[1]Actual &amp; PO  Analysis 2020'!$A$4:$CH$300,86,0),"")</f>
        <v>1.484</v>
      </c>
      <c r="N377" s="25">
        <v>14.20965</v>
      </c>
    </row>
    <row r="378" spans="1:14" x14ac:dyDescent="0.25">
      <c r="A378" s="11" t="s">
        <v>303</v>
      </c>
      <c r="B378" s="17">
        <v>0</v>
      </c>
      <c r="C378" s="17">
        <v>3.94</v>
      </c>
      <c r="D378" s="17">
        <v>3.11</v>
      </c>
      <c r="E378" s="17">
        <v>0.1</v>
      </c>
      <c r="F378" s="17">
        <v>0.81</v>
      </c>
      <c r="G378" s="22">
        <f t="shared" si="5"/>
        <v>7.9599999999999991</v>
      </c>
      <c r="H378" s="11" t="s">
        <v>354</v>
      </c>
      <c r="I378" s="24" t="str">
        <f>IFERROR(VLOOKUP($H378,'[1]Actual &amp; PO  Analysis 2020'!$A$4:$BJ$300,62,0),"")</f>
        <v>0</v>
      </c>
      <c r="J378" s="24">
        <f>IFERROR(VLOOKUP($H378,'[1]Actual &amp; PO  Analysis 2020'!$A$4:$BP$300,68,0),"")</f>
        <v>4.7303333333333333</v>
      </c>
      <c r="K378" s="24">
        <f>IFERROR(VLOOKUP($H378,'[1]Actual &amp; PO  Analysis 2020'!$A$4:$BV$300,74,0),"")</f>
        <v>5.5460000000000003</v>
      </c>
      <c r="L378" s="24">
        <f>IFERROR(VLOOKUP($H378,'[1]Actual &amp; PO  Analysis 2020'!$A$4:$CB$300,80,0),"")</f>
        <v>0.17650000000000002</v>
      </c>
      <c r="M378" s="24">
        <f>IFERROR(VLOOKUP($H378,'[1]Actual &amp; PO  Analysis 2020'!$A$4:$CH$300,86,0),"")</f>
        <v>3.2072499999999997</v>
      </c>
      <c r="N378" s="25">
        <v>10.593500000000001</v>
      </c>
    </row>
    <row r="379" spans="1:14" x14ac:dyDescent="0.25">
      <c r="A379" s="11" t="s">
        <v>409</v>
      </c>
      <c r="B379" s="17">
        <v>0</v>
      </c>
      <c r="C379" s="17">
        <v>15.771000000000001</v>
      </c>
      <c r="D379" s="17">
        <v>6.1609999999999996</v>
      </c>
      <c r="E379" s="17">
        <v>8.2000000000000003E-2</v>
      </c>
      <c r="F379" s="17">
        <v>0.98599999999999999</v>
      </c>
      <c r="G379" s="22">
        <f t="shared" si="5"/>
        <v>23.000000000000004</v>
      </c>
      <c r="H379" s="11" t="s">
        <v>419</v>
      </c>
      <c r="I379" s="24" t="str">
        <f>IFERROR(VLOOKUP($H379,'[1]Actual &amp; PO  Analysis 2020'!$A$4:$BJ$300,62,0),"")</f>
        <v>0</v>
      </c>
      <c r="J379" s="24">
        <f>IFERROR(VLOOKUP($H379,'[1]Actual &amp; PO  Analysis 2020'!$A$4:$BP$300,68,0),"")</f>
        <v>11.08</v>
      </c>
      <c r="K379" s="24">
        <f>IFERROR(VLOOKUP($H379,'[1]Actual &amp; PO  Analysis 2020'!$A$4:$BV$300,74,0),"")</f>
        <v>3.5089999999999999</v>
      </c>
      <c r="L379" s="24">
        <f>IFERROR(VLOOKUP($H379,'[1]Actual &amp; PO  Analysis 2020'!$A$4:$CB$300,80,0),"")</f>
        <v>0.16575000000000001</v>
      </c>
      <c r="M379" s="24">
        <f>IFERROR(VLOOKUP($H379,'[1]Actual &amp; PO  Analysis 2020'!$A$4:$CH$300,86,0),"")</f>
        <v>1.3233333333333333</v>
      </c>
      <c r="N379" s="25">
        <v>13.026166666666667</v>
      </c>
    </row>
    <row r="380" spans="1:14" x14ac:dyDescent="0.25">
      <c r="A380" s="11" t="s">
        <v>234</v>
      </c>
      <c r="B380" s="17">
        <v>0</v>
      </c>
      <c r="C380" s="17">
        <v>0</v>
      </c>
      <c r="D380" s="17">
        <v>0</v>
      </c>
      <c r="E380" s="17">
        <v>0</v>
      </c>
      <c r="F380" s="17">
        <v>0</v>
      </c>
      <c r="G380" s="22">
        <f t="shared" si="5"/>
        <v>0</v>
      </c>
      <c r="H380" s="11" t="s">
        <v>364</v>
      </c>
      <c r="I380" s="24" t="str">
        <f>IFERROR(VLOOKUP($H380,'[1]Actual &amp; PO  Analysis 2020'!$A$4:$BJ$300,62,0),"")</f>
        <v>0</v>
      </c>
      <c r="J380" s="24">
        <f>IFERROR(VLOOKUP($H380,'[1]Actual &amp; PO  Analysis 2020'!$A$4:$BP$300,68,0),"")</f>
        <v>7.8196666666666674</v>
      </c>
      <c r="K380" s="24">
        <f>IFERROR(VLOOKUP($H380,'[1]Actual &amp; PO  Analysis 2020'!$A$4:$BV$300,74,0),"")</f>
        <v>3.3603333333333332</v>
      </c>
      <c r="L380" s="24">
        <f>IFERROR(VLOOKUP($H380,'[1]Actual &amp; PO  Analysis 2020'!$A$4:$CB$300,80,0),"")</f>
        <v>0.16466666666666666</v>
      </c>
      <c r="M380" s="24">
        <f>IFERROR(VLOOKUP($H380,'[1]Actual &amp; PO  Analysis 2020'!$A$4:$CH$300,86,0),"")</f>
        <v>1.4270000000000003</v>
      </c>
      <c r="N380" s="25">
        <v>14.710833333333333</v>
      </c>
    </row>
    <row r="381" spans="1:14" x14ac:dyDescent="0.25">
      <c r="A381" s="11" t="s">
        <v>61</v>
      </c>
      <c r="B381" s="17">
        <v>0</v>
      </c>
      <c r="C381" s="17">
        <v>1.35</v>
      </c>
      <c r="D381" s="17">
        <v>1.91</v>
      </c>
      <c r="E381" s="17">
        <v>0</v>
      </c>
      <c r="F381" s="17">
        <v>0.86</v>
      </c>
      <c r="G381" s="22">
        <f t="shared" si="5"/>
        <v>4.12</v>
      </c>
      <c r="H381" s="11" t="s">
        <v>310</v>
      </c>
      <c r="I381" s="24" t="str">
        <f>IFERROR(VLOOKUP($H381,'[1]Actual &amp; PO  Analysis 2020'!$A$4:$BJ$300,62,0),"")</f>
        <v>0</v>
      </c>
      <c r="J381" s="24">
        <f>IFERROR(VLOOKUP($H381,'[1]Actual &amp; PO  Analysis 2020'!$A$4:$BP$300,68,0),"")</f>
        <v>9.7443333333333317</v>
      </c>
      <c r="K381" s="24">
        <f>IFERROR(VLOOKUP($H381,'[1]Actual &amp; PO  Analysis 2020'!$A$4:$BV$300,74,0),"")</f>
        <v>3.9569999999999994</v>
      </c>
      <c r="L381" s="24">
        <f>IFERROR(VLOOKUP($H381,'[1]Actual &amp; PO  Analysis 2020'!$A$4:$CB$300,80,0),"")</f>
        <v>0.18933333333333335</v>
      </c>
      <c r="M381" s="24">
        <f>IFERROR(VLOOKUP($H381,'[1]Actual &amp; PO  Analysis 2020'!$A$4:$CH$300,86,0),"")</f>
        <v>1.361</v>
      </c>
      <c r="N381" s="25">
        <v>13.418666666666665</v>
      </c>
    </row>
    <row r="382" spans="1:14" x14ac:dyDescent="0.25">
      <c r="A382" s="11" t="s">
        <v>235</v>
      </c>
      <c r="B382" s="17">
        <v>0</v>
      </c>
      <c r="C382" s="17">
        <v>2.7</v>
      </c>
      <c r="D382" s="17">
        <v>2.5700000000000003</v>
      </c>
      <c r="E382" s="17">
        <v>0.1</v>
      </c>
      <c r="F382" s="17">
        <v>0.99</v>
      </c>
      <c r="G382" s="22">
        <f t="shared" si="5"/>
        <v>6.36</v>
      </c>
      <c r="H382" s="11" t="s">
        <v>303</v>
      </c>
      <c r="I382" s="24" t="str">
        <f>IFERROR(VLOOKUP($H382,'[1]Actual &amp; PO  Analysis 2020'!$A$4:$BJ$300,62,0),"")</f>
        <v/>
      </c>
      <c r="J382" s="24" t="str">
        <f>IFERROR(VLOOKUP($H382,'[1]Actual &amp; PO  Analysis 2020'!$A$4:$BP$300,68,0),"")</f>
        <v/>
      </c>
      <c r="K382" s="24" t="str">
        <f>IFERROR(VLOOKUP($H382,'[1]Actual &amp; PO  Analysis 2020'!$A$4:$BV$300,74,0),"")</f>
        <v/>
      </c>
      <c r="L382" s="24" t="str">
        <f>IFERROR(VLOOKUP($H382,'[1]Actual &amp; PO  Analysis 2020'!$A$4:$CB$300,80,0),"")</f>
        <v/>
      </c>
      <c r="M382" s="24" t="str">
        <f>IFERROR(VLOOKUP($H382,'[1]Actual &amp; PO  Analysis 2020'!$A$4:$CH$300,86,0),"")</f>
        <v/>
      </c>
      <c r="N382" s="25">
        <v>0</v>
      </c>
    </row>
    <row r="383" spans="1:14" x14ac:dyDescent="0.25">
      <c r="A383" s="11" t="s">
        <v>241</v>
      </c>
      <c r="B383" s="17">
        <v>0</v>
      </c>
      <c r="C383" s="17">
        <v>2.16</v>
      </c>
      <c r="D383" s="17">
        <v>2.59</v>
      </c>
      <c r="E383" s="17">
        <v>0.1</v>
      </c>
      <c r="F383" s="17">
        <v>0.72</v>
      </c>
      <c r="G383" s="22">
        <f t="shared" si="5"/>
        <v>5.5699999999999994</v>
      </c>
      <c r="H383" s="11" t="s">
        <v>409</v>
      </c>
      <c r="I383" s="24" t="str">
        <f>IFERROR(VLOOKUP($H383,'[1]Actual &amp; PO  Analysis 2020'!$A$4:$BJ$300,62,0),"")</f>
        <v>0</v>
      </c>
      <c r="J383" s="24">
        <f>IFERROR(VLOOKUP($H383,'[1]Actual &amp; PO  Analysis 2020'!$A$4:$BP$300,68,0),"")</f>
        <v>13.213000000000003</v>
      </c>
      <c r="K383" s="24">
        <f>IFERROR(VLOOKUP($H383,'[1]Actual &amp; PO  Analysis 2020'!$A$4:$BV$300,74,0),"")</f>
        <v>13.989600000000001</v>
      </c>
      <c r="L383" s="24">
        <f>IFERROR(VLOOKUP($H383,'[1]Actual &amp; PO  Analysis 2020'!$A$4:$CB$300,80,0),"")</f>
        <v>0.17860000000000001</v>
      </c>
      <c r="M383" s="24">
        <f>IFERROR(VLOOKUP($H383,'[1]Actual &amp; PO  Analysis 2020'!$A$4:$CH$300,86,0),"")</f>
        <v>6.5842000000000001</v>
      </c>
      <c r="N383" s="25">
        <v>19.081666666666667</v>
      </c>
    </row>
    <row r="384" spans="1:14" x14ac:dyDescent="0.25">
      <c r="A384" s="11" t="s">
        <v>78</v>
      </c>
      <c r="B384" s="17">
        <v>0</v>
      </c>
      <c r="C384" s="17">
        <v>0</v>
      </c>
      <c r="D384" s="17">
        <v>1.5</v>
      </c>
      <c r="E384" s="17">
        <v>0</v>
      </c>
      <c r="F384" s="17">
        <v>1.17</v>
      </c>
      <c r="G384" s="22">
        <f t="shared" si="5"/>
        <v>2.67</v>
      </c>
      <c r="H384" s="11" t="s">
        <v>234</v>
      </c>
      <c r="I384" s="24" t="str">
        <f>IFERROR(VLOOKUP($H384,'[1]Actual &amp; PO  Analysis 2020'!$A$4:$BJ$300,62,0),"")</f>
        <v/>
      </c>
      <c r="J384" s="24" t="str">
        <f>IFERROR(VLOOKUP($H384,'[1]Actual &amp; PO  Analysis 2020'!$A$4:$BP$300,68,0),"")</f>
        <v/>
      </c>
      <c r="K384" s="24" t="str">
        <f>IFERROR(VLOOKUP($H384,'[1]Actual &amp; PO  Analysis 2020'!$A$4:$BV$300,74,0),"")</f>
        <v/>
      </c>
      <c r="L384" s="24" t="str">
        <f>IFERROR(VLOOKUP($H384,'[1]Actual &amp; PO  Analysis 2020'!$A$4:$CB$300,80,0),"")</f>
        <v/>
      </c>
      <c r="M384" s="24" t="str">
        <f>IFERROR(VLOOKUP($H384,'[1]Actual &amp; PO  Analysis 2020'!$A$4:$CH$300,86,0),"")</f>
        <v/>
      </c>
      <c r="N384" s="25">
        <v>0</v>
      </c>
    </row>
    <row r="385" spans="1:14" x14ac:dyDescent="0.25">
      <c r="A385" s="11" t="s">
        <v>84</v>
      </c>
      <c r="B385" s="17">
        <v>1.44</v>
      </c>
      <c r="C385" s="17">
        <v>0.54</v>
      </c>
      <c r="D385" s="17">
        <v>6.4</v>
      </c>
      <c r="E385" s="17">
        <v>0.1</v>
      </c>
      <c r="F385" s="17">
        <v>1.51</v>
      </c>
      <c r="G385" s="22">
        <f t="shared" si="5"/>
        <v>9.99</v>
      </c>
      <c r="H385" s="11" t="s">
        <v>61</v>
      </c>
      <c r="I385" s="24" t="str">
        <f>IFERROR(VLOOKUP($H385,'[1]Actual &amp; PO  Analysis 2020'!$A$4:$BJ$300,62,0),"")</f>
        <v/>
      </c>
      <c r="J385" s="24" t="str">
        <f>IFERROR(VLOOKUP($H385,'[1]Actual &amp; PO  Analysis 2020'!$A$4:$BP$300,68,0),"")</f>
        <v/>
      </c>
      <c r="K385" s="24" t="str">
        <f>IFERROR(VLOOKUP($H385,'[1]Actual &amp; PO  Analysis 2020'!$A$4:$BV$300,74,0),"")</f>
        <v/>
      </c>
      <c r="L385" s="24" t="str">
        <f>IFERROR(VLOOKUP($H385,'[1]Actual &amp; PO  Analysis 2020'!$A$4:$CB$300,80,0),"")</f>
        <v/>
      </c>
      <c r="M385" s="24" t="str">
        <f>IFERROR(VLOOKUP($H385,'[1]Actual &amp; PO  Analysis 2020'!$A$4:$CH$300,86,0),"")</f>
        <v/>
      </c>
      <c r="N385" s="25">
        <v>0</v>
      </c>
    </row>
    <row r="386" spans="1:14" x14ac:dyDescent="0.25">
      <c r="A386" s="11" t="s">
        <v>492</v>
      </c>
      <c r="B386" s="17"/>
      <c r="C386" s="17">
        <v>3.75</v>
      </c>
      <c r="D386" s="17">
        <v>1.94</v>
      </c>
      <c r="E386" s="17">
        <v>0</v>
      </c>
      <c r="F386" s="17">
        <v>0.62</v>
      </c>
      <c r="G386" s="22">
        <f t="shared" ref="G386:G449" si="6">SUM(B386:F386)</f>
        <v>6.31</v>
      </c>
      <c r="H386" s="11" t="s">
        <v>235</v>
      </c>
      <c r="I386" s="24" t="str">
        <f>IFERROR(VLOOKUP($H386,'[1]Actual &amp; PO  Analysis 2020'!$A$4:$BJ$300,62,0),"")</f>
        <v/>
      </c>
      <c r="J386" s="24" t="str">
        <f>IFERROR(VLOOKUP($H386,'[1]Actual &amp; PO  Analysis 2020'!$A$4:$BP$300,68,0),"")</f>
        <v/>
      </c>
      <c r="K386" s="24" t="str">
        <f>IFERROR(VLOOKUP($H386,'[1]Actual &amp; PO  Analysis 2020'!$A$4:$BV$300,74,0),"")</f>
        <v/>
      </c>
      <c r="L386" s="24" t="str">
        <f>IFERROR(VLOOKUP($H386,'[1]Actual &amp; PO  Analysis 2020'!$A$4:$CB$300,80,0),"")</f>
        <v/>
      </c>
      <c r="M386" s="24" t="str">
        <f>IFERROR(VLOOKUP($H386,'[1]Actual &amp; PO  Analysis 2020'!$A$4:$CH$300,86,0),"")</f>
        <v/>
      </c>
      <c r="N386" s="25">
        <v>0</v>
      </c>
    </row>
    <row r="387" spans="1:14" x14ac:dyDescent="0.25">
      <c r="A387" s="11" t="s">
        <v>399</v>
      </c>
      <c r="B387" s="17">
        <v>0</v>
      </c>
      <c r="C387" s="17">
        <v>1.2</v>
      </c>
      <c r="D387" s="17">
        <v>4.9000000000000004</v>
      </c>
      <c r="E387" s="17">
        <v>0.15</v>
      </c>
      <c r="F387" s="17">
        <v>1.8</v>
      </c>
      <c r="G387" s="22">
        <f t="shared" si="6"/>
        <v>8.0500000000000007</v>
      </c>
      <c r="H387" s="11" t="s">
        <v>241</v>
      </c>
      <c r="I387" s="24" t="str">
        <f>IFERROR(VLOOKUP($H387,'[1]Actual &amp; PO  Analysis 2020'!$A$4:$BJ$300,62,0),"")</f>
        <v/>
      </c>
      <c r="J387" s="24" t="str">
        <f>IFERROR(VLOOKUP($H387,'[1]Actual &amp; PO  Analysis 2020'!$A$4:$BP$300,68,0),"")</f>
        <v/>
      </c>
      <c r="K387" s="24" t="str">
        <f>IFERROR(VLOOKUP($H387,'[1]Actual &amp; PO  Analysis 2020'!$A$4:$BV$300,74,0),"")</f>
        <v/>
      </c>
      <c r="L387" s="24" t="str">
        <f>IFERROR(VLOOKUP($H387,'[1]Actual &amp; PO  Analysis 2020'!$A$4:$CB$300,80,0),"")</f>
        <v/>
      </c>
      <c r="M387" s="24" t="str">
        <f>IFERROR(VLOOKUP($H387,'[1]Actual &amp; PO  Analysis 2020'!$A$4:$CH$300,86,0),"")</f>
        <v/>
      </c>
      <c r="N387" s="25">
        <v>0</v>
      </c>
    </row>
    <row r="388" spans="1:14" x14ac:dyDescent="0.25">
      <c r="A388" s="11" t="s">
        <v>21</v>
      </c>
      <c r="B388" s="17">
        <v>0</v>
      </c>
      <c r="C388" s="17">
        <v>1.64</v>
      </c>
      <c r="D388" s="17">
        <v>1.96</v>
      </c>
      <c r="E388" s="17">
        <v>0.1</v>
      </c>
      <c r="F388" s="17">
        <v>0.75</v>
      </c>
      <c r="G388" s="22">
        <f t="shared" si="6"/>
        <v>4.4499999999999993</v>
      </c>
      <c r="H388" s="11" t="s">
        <v>78</v>
      </c>
      <c r="I388" s="24" t="str">
        <f>IFERROR(VLOOKUP($H388,'[1]Actual &amp; PO  Analysis 2020'!$A$4:$BJ$300,62,0),"")</f>
        <v/>
      </c>
      <c r="J388" s="24" t="str">
        <f>IFERROR(VLOOKUP($H388,'[1]Actual &amp; PO  Analysis 2020'!$A$4:$BP$300,68,0),"")</f>
        <v/>
      </c>
      <c r="K388" s="24" t="str">
        <f>IFERROR(VLOOKUP($H388,'[1]Actual &amp; PO  Analysis 2020'!$A$4:$BV$300,74,0),"")</f>
        <v/>
      </c>
      <c r="L388" s="24" t="str">
        <f>IFERROR(VLOOKUP($H388,'[1]Actual &amp; PO  Analysis 2020'!$A$4:$CB$300,80,0),"")</f>
        <v/>
      </c>
      <c r="M388" s="24" t="str">
        <f>IFERROR(VLOOKUP($H388,'[1]Actual &amp; PO  Analysis 2020'!$A$4:$CH$300,86,0),"")</f>
        <v/>
      </c>
      <c r="N388" s="25">
        <v>0</v>
      </c>
    </row>
    <row r="389" spans="1:14" x14ac:dyDescent="0.25">
      <c r="A389" s="11" t="s">
        <v>32</v>
      </c>
      <c r="B389" s="17">
        <v>0</v>
      </c>
      <c r="C389" s="17">
        <v>1.28</v>
      </c>
      <c r="D389" s="17">
        <v>2.04</v>
      </c>
      <c r="E389" s="17">
        <v>0.1</v>
      </c>
      <c r="F389" s="17">
        <v>0.69</v>
      </c>
      <c r="G389" s="22">
        <f t="shared" si="6"/>
        <v>4.1100000000000003</v>
      </c>
      <c r="H389" s="11" t="s">
        <v>84</v>
      </c>
      <c r="I389" s="24" t="str">
        <f>IFERROR(VLOOKUP($H389,'[1]Actual &amp; PO  Analysis 2020'!$A$4:$BJ$300,62,0),"")</f>
        <v/>
      </c>
      <c r="J389" s="24" t="str">
        <f>IFERROR(VLOOKUP($H389,'[1]Actual &amp; PO  Analysis 2020'!$A$4:$BP$300,68,0),"")</f>
        <v/>
      </c>
      <c r="K389" s="24" t="str">
        <f>IFERROR(VLOOKUP($H389,'[1]Actual &amp; PO  Analysis 2020'!$A$4:$BV$300,74,0),"")</f>
        <v/>
      </c>
      <c r="L389" s="24" t="str">
        <f>IFERROR(VLOOKUP($H389,'[1]Actual &amp; PO  Analysis 2020'!$A$4:$CB$300,80,0),"")</f>
        <v/>
      </c>
      <c r="M389" s="24" t="str">
        <f>IFERROR(VLOOKUP($H389,'[1]Actual &amp; PO  Analysis 2020'!$A$4:$CH$300,86,0),"")</f>
        <v/>
      </c>
      <c r="N389" s="25">
        <v>0</v>
      </c>
    </row>
    <row r="390" spans="1:14" x14ac:dyDescent="0.25">
      <c r="A390" s="11" t="s">
        <v>20</v>
      </c>
      <c r="B390" s="17">
        <v>0</v>
      </c>
      <c r="C390" s="17">
        <v>1.48</v>
      </c>
      <c r="D390" s="17">
        <v>2.1100000000000003</v>
      </c>
      <c r="E390" s="17">
        <v>0.1</v>
      </c>
      <c r="F390" s="17">
        <v>0.62</v>
      </c>
      <c r="G390" s="22">
        <f t="shared" si="6"/>
        <v>4.3100000000000005</v>
      </c>
      <c r="H390" s="11" t="s">
        <v>492</v>
      </c>
      <c r="I390" s="24" t="str">
        <f>IFERROR(VLOOKUP($H390,'[1]Actual &amp; PO  Analysis 2020'!$A$4:$BJ$300,62,0),"")</f>
        <v>0</v>
      </c>
      <c r="J390" s="24">
        <f>IFERROR(VLOOKUP($H390,'[1]Actual &amp; PO  Analysis 2020'!$A$4:$BP$300,68,0),"")</f>
        <v>11.896800000000001</v>
      </c>
      <c r="K390" s="24">
        <f>IFERROR(VLOOKUP($H390,'[1]Actual &amp; PO  Analysis 2020'!$A$4:$BV$300,74,0),"")</f>
        <v>2.5870000000000002</v>
      </c>
      <c r="L390" s="24">
        <f>IFERROR(VLOOKUP($H390,'[1]Actual &amp; PO  Analysis 2020'!$A$4:$CB$300,80,0),"")</f>
        <v>0.18266666666666667</v>
      </c>
      <c r="M390" s="24">
        <f>IFERROR(VLOOKUP($H390,'[1]Actual &amp; PO  Analysis 2020'!$A$4:$CH$300,86,0),"")</f>
        <v>0.99633333333333329</v>
      </c>
      <c r="N390" s="25">
        <v>13.061999999999999</v>
      </c>
    </row>
    <row r="391" spans="1:14" x14ac:dyDescent="0.25">
      <c r="A391" s="11" t="s">
        <v>123</v>
      </c>
      <c r="B391" s="17">
        <v>1.2</v>
      </c>
      <c r="C391" s="17">
        <v>0.53</v>
      </c>
      <c r="D391" s="17">
        <v>1.91</v>
      </c>
      <c r="E391" s="17">
        <v>0.1</v>
      </c>
      <c r="F391" s="17">
        <v>0.75</v>
      </c>
      <c r="G391" s="22">
        <f t="shared" si="6"/>
        <v>4.49</v>
      </c>
      <c r="H391" s="11" t="s">
        <v>399</v>
      </c>
      <c r="I391" s="24" t="str">
        <f>IFERROR(VLOOKUP($H391,'[1]Actual &amp; PO  Analysis 2020'!$A$4:$BJ$300,62,0),"")</f>
        <v/>
      </c>
      <c r="J391" s="24" t="str">
        <f>IFERROR(VLOOKUP($H391,'[1]Actual &amp; PO  Analysis 2020'!$A$4:$BP$300,68,0),"")</f>
        <v/>
      </c>
      <c r="K391" s="24" t="str">
        <f>IFERROR(VLOOKUP($H391,'[1]Actual &amp; PO  Analysis 2020'!$A$4:$BV$300,74,0),"")</f>
        <v/>
      </c>
      <c r="L391" s="24" t="str">
        <f>IFERROR(VLOOKUP($H391,'[1]Actual &amp; PO  Analysis 2020'!$A$4:$CB$300,80,0),"")</f>
        <v/>
      </c>
      <c r="M391" s="24" t="str">
        <f>IFERROR(VLOOKUP($H391,'[1]Actual &amp; PO  Analysis 2020'!$A$4:$CH$300,86,0),"")</f>
        <v/>
      </c>
      <c r="N391" s="25">
        <v>0</v>
      </c>
    </row>
    <row r="392" spans="1:14" x14ac:dyDescent="0.25">
      <c r="A392" s="11" t="s">
        <v>311</v>
      </c>
      <c r="B392" s="17">
        <v>0</v>
      </c>
      <c r="C392" s="17">
        <v>4.1399999999999997</v>
      </c>
      <c r="D392" s="17">
        <v>5.2889999999999997</v>
      </c>
      <c r="E392" s="17">
        <v>0.13100000000000001</v>
      </c>
      <c r="F392" s="17">
        <v>1.411</v>
      </c>
      <c r="G392" s="22">
        <f t="shared" si="6"/>
        <v>10.970999999999998</v>
      </c>
      <c r="H392" s="11" t="s">
        <v>21</v>
      </c>
      <c r="I392" s="24" t="str">
        <f>IFERROR(VLOOKUP($H392,'[1]Actual &amp; PO  Analysis 2020'!$A$4:$BJ$300,62,0),"")</f>
        <v/>
      </c>
      <c r="J392" s="24" t="str">
        <f>IFERROR(VLOOKUP($H392,'[1]Actual &amp; PO  Analysis 2020'!$A$4:$BP$300,68,0),"")</f>
        <v/>
      </c>
      <c r="K392" s="24" t="str">
        <f>IFERROR(VLOOKUP($H392,'[1]Actual &amp; PO  Analysis 2020'!$A$4:$BV$300,74,0),"")</f>
        <v/>
      </c>
      <c r="L392" s="24" t="str">
        <f>IFERROR(VLOOKUP($H392,'[1]Actual &amp; PO  Analysis 2020'!$A$4:$CB$300,80,0),"")</f>
        <v/>
      </c>
      <c r="M392" s="24" t="str">
        <f>IFERROR(VLOOKUP($H392,'[1]Actual &amp; PO  Analysis 2020'!$A$4:$CH$300,86,0),"")</f>
        <v/>
      </c>
      <c r="N392" s="25">
        <v>0</v>
      </c>
    </row>
    <row r="393" spans="1:14" x14ac:dyDescent="0.25">
      <c r="A393" s="11" t="s">
        <v>312</v>
      </c>
      <c r="B393" s="17">
        <v>0</v>
      </c>
      <c r="C393" s="17">
        <v>4.4279999999999999</v>
      </c>
      <c r="D393" s="17">
        <v>4.6459999999999999</v>
      </c>
      <c r="E393" s="17">
        <v>0.115</v>
      </c>
      <c r="F393" s="17">
        <v>1.2390000000000001</v>
      </c>
      <c r="G393" s="22">
        <f t="shared" si="6"/>
        <v>10.428000000000001</v>
      </c>
      <c r="H393" s="11" t="s">
        <v>32</v>
      </c>
      <c r="I393" s="24" t="str">
        <f>IFERROR(VLOOKUP($H393,'[1]Actual &amp; PO  Analysis 2020'!$A$4:$BJ$300,62,0),"")</f>
        <v/>
      </c>
      <c r="J393" s="24" t="str">
        <f>IFERROR(VLOOKUP($H393,'[1]Actual &amp; PO  Analysis 2020'!$A$4:$BP$300,68,0),"")</f>
        <v/>
      </c>
      <c r="K393" s="24" t="str">
        <f>IFERROR(VLOOKUP($H393,'[1]Actual &amp; PO  Analysis 2020'!$A$4:$BV$300,74,0),"")</f>
        <v/>
      </c>
      <c r="L393" s="24" t="str">
        <f>IFERROR(VLOOKUP($H393,'[1]Actual &amp; PO  Analysis 2020'!$A$4:$CB$300,80,0),"")</f>
        <v/>
      </c>
      <c r="M393" s="24" t="str">
        <f>IFERROR(VLOOKUP($H393,'[1]Actual &amp; PO  Analysis 2020'!$A$4:$CH$300,86,0),"")</f>
        <v/>
      </c>
      <c r="N393" s="25">
        <v>0</v>
      </c>
    </row>
    <row r="394" spans="1:14" x14ac:dyDescent="0.25">
      <c r="A394" s="11" t="s">
        <v>224</v>
      </c>
      <c r="B394" s="17">
        <v>0</v>
      </c>
      <c r="C394" s="17">
        <v>1.248</v>
      </c>
      <c r="D394" s="17">
        <v>1.925</v>
      </c>
      <c r="E394" s="17">
        <v>0.10199999999999999</v>
      </c>
      <c r="F394" s="17">
        <v>0.69599999999999995</v>
      </c>
      <c r="G394" s="22">
        <f t="shared" si="6"/>
        <v>3.9710000000000001</v>
      </c>
      <c r="H394" s="11" t="s">
        <v>20</v>
      </c>
      <c r="I394" s="24" t="str">
        <f>IFERROR(VLOOKUP($H394,'[1]Actual &amp; PO  Analysis 2020'!$A$4:$BJ$300,62,0),"")</f>
        <v/>
      </c>
      <c r="J394" s="24" t="str">
        <f>IFERROR(VLOOKUP($H394,'[1]Actual &amp; PO  Analysis 2020'!$A$4:$BP$300,68,0),"")</f>
        <v/>
      </c>
      <c r="K394" s="24" t="str">
        <f>IFERROR(VLOOKUP($H394,'[1]Actual &amp; PO  Analysis 2020'!$A$4:$BV$300,74,0),"")</f>
        <v/>
      </c>
      <c r="L394" s="24" t="str">
        <f>IFERROR(VLOOKUP($H394,'[1]Actual &amp; PO  Analysis 2020'!$A$4:$CB$300,80,0),"")</f>
        <v/>
      </c>
      <c r="M394" s="24" t="str">
        <f>IFERROR(VLOOKUP($H394,'[1]Actual &amp; PO  Analysis 2020'!$A$4:$CH$300,86,0),"")</f>
        <v/>
      </c>
      <c r="N394" s="25">
        <v>0</v>
      </c>
    </row>
    <row r="395" spans="1:14" x14ac:dyDescent="0.25">
      <c r="A395" s="11" t="s">
        <v>441</v>
      </c>
      <c r="B395" s="17">
        <v>0</v>
      </c>
      <c r="C395" s="17">
        <v>3.69</v>
      </c>
      <c r="D395" s="17">
        <v>1.9500000000000002</v>
      </c>
      <c r="E395" s="17">
        <v>0</v>
      </c>
      <c r="F395" s="17">
        <v>0.62</v>
      </c>
      <c r="G395" s="22">
        <f t="shared" si="6"/>
        <v>6.2600000000000007</v>
      </c>
      <c r="H395" s="11" t="s">
        <v>123</v>
      </c>
      <c r="I395" s="24" t="str">
        <f>IFERROR(VLOOKUP($H395,'[1]Actual &amp; PO  Analysis 2020'!$A$4:$BJ$300,62,0),"")</f>
        <v/>
      </c>
      <c r="J395" s="24" t="str">
        <f>IFERROR(VLOOKUP($H395,'[1]Actual &amp; PO  Analysis 2020'!$A$4:$BP$300,68,0),"")</f>
        <v/>
      </c>
      <c r="K395" s="24" t="str">
        <f>IFERROR(VLOOKUP($H395,'[1]Actual &amp; PO  Analysis 2020'!$A$4:$BV$300,74,0),"")</f>
        <v/>
      </c>
      <c r="L395" s="24" t="str">
        <f>IFERROR(VLOOKUP($H395,'[1]Actual &amp; PO  Analysis 2020'!$A$4:$CB$300,80,0),"")</f>
        <v/>
      </c>
      <c r="M395" s="24" t="str">
        <f>IFERROR(VLOOKUP($H395,'[1]Actual &amp; PO  Analysis 2020'!$A$4:$CH$300,86,0),"")</f>
        <v/>
      </c>
      <c r="N395" s="25">
        <v>0</v>
      </c>
    </row>
    <row r="396" spans="1:14" x14ac:dyDescent="0.25">
      <c r="A396" s="11" t="s">
        <v>442</v>
      </c>
      <c r="B396" s="17">
        <v>0</v>
      </c>
      <c r="C396" s="17">
        <v>4.68</v>
      </c>
      <c r="D396" s="17">
        <v>2.17</v>
      </c>
      <c r="E396" s="17">
        <v>0</v>
      </c>
      <c r="F396" s="17">
        <v>0.65</v>
      </c>
      <c r="G396" s="22">
        <f t="shared" si="6"/>
        <v>7.5</v>
      </c>
      <c r="H396" s="11" t="s">
        <v>311</v>
      </c>
      <c r="I396" s="24" t="str">
        <f>IFERROR(VLOOKUP($H396,'[1]Actual &amp; PO  Analysis 2020'!$A$4:$BJ$300,62,0),"")</f>
        <v>0</v>
      </c>
      <c r="J396" s="24">
        <f>IFERROR(VLOOKUP($H396,'[1]Actual &amp; PO  Analysis 2020'!$A$4:$BP$300,68,0),"")</f>
        <v>3.3185000000000002</v>
      </c>
      <c r="K396" s="24">
        <f>IFERROR(VLOOKUP($H396,'[1]Actual &amp; PO  Analysis 2020'!$A$4:$BV$300,74,0),"")</f>
        <v>6.7569999999999997</v>
      </c>
      <c r="L396" s="24">
        <f>IFERROR(VLOOKUP($H396,'[1]Actual &amp; PO  Analysis 2020'!$A$4:$CB$300,80,0),"")</f>
        <v>0.14399999999999999</v>
      </c>
      <c r="M396" s="24">
        <f>IFERROR(VLOOKUP($H396,'[1]Actual &amp; PO  Analysis 2020'!$A$4:$CH$300,86,0),"")</f>
        <v>1.25</v>
      </c>
      <c r="N396" s="25">
        <v>34.249500000000005</v>
      </c>
    </row>
    <row r="397" spans="1:14" x14ac:dyDescent="0.25">
      <c r="A397" s="11" t="s">
        <v>333</v>
      </c>
      <c r="B397" s="17">
        <v>0</v>
      </c>
      <c r="C397" s="17">
        <v>0</v>
      </c>
      <c r="D397" s="17">
        <v>0</v>
      </c>
      <c r="E397" s="17">
        <v>0</v>
      </c>
      <c r="F397" s="17">
        <v>0</v>
      </c>
      <c r="G397" s="22">
        <f t="shared" si="6"/>
        <v>0</v>
      </c>
      <c r="H397" s="11" t="s">
        <v>312</v>
      </c>
      <c r="I397" s="24" t="str">
        <f>IFERROR(VLOOKUP($H397,'[1]Actual &amp; PO  Analysis 2020'!$A$4:$BJ$300,62,0),"")</f>
        <v>0</v>
      </c>
      <c r="J397" s="24">
        <f>IFERROR(VLOOKUP($H397,'[1]Actual &amp; PO  Analysis 2020'!$A$4:$BP$300,68,0),"")</f>
        <v>3.4771999999999998</v>
      </c>
      <c r="K397" s="24">
        <f>IFERROR(VLOOKUP($H397,'[1]Actual &amp; PO  Analysis 2020'!$A$4:$BV$300,74,0),"")</f>
        <v>4.2439999999999998</v>
      </c>
      <c r="L397" s="24">
        <f>IFERROR(VLOOKUP($H397,'[1]Actual &amp; PO  Analysis 2020'!$A$4:$CB$300,80,0),"")</f>
        <v>0.15860000000000002</v>
      </c>
      <c r="M397" s="24">
        <f>IFERROR(VLOOKUP($H397,'[1]Actual &amp; PO  Analysis 2020'!$A$4:$CH$300,86,0),"")</f>
        <v>1.94075</v>
      </c>
      <c r="N397" s="25">
        <v>18.193666666666669</v>
      </c>
    </row>
    <row r="398" spans="1:14" x14ac:dyDescent="0.25">
      <c r="A398" s="11" t="s">
        <v>76</v>
      </c>
      <c r="B398" s="17">
        <v>0</v>
      </c>
      <c r="C398" s="17">
        <v>2.4</v>
      </c>
      <c r="D398" s="17">
        <v>2.09</v>
      </c>
      <c r="E398" s="17">
        <v>0.1</v>
      </c>
      <c r="F398" s="17">
        <v>0.62</v>
      </c>
      <c r="G398" s="22">
        <f t="shared" si="6"/>
        <v>5.21</v>
      </c>
      <c r="H398" s="11" t="s">
        <v>224</v>
      </c>
      <c r="I398" s="24" t="str">
        <f>IFERROR(VLOOKUP($H398,'[1]Actual &amp; PO  Analysis 2020'!$A$4:$BJ$300,62,0),"")</f>
        <v/>
      </c>
      <c r="J398" s="24" t="str">
        <f>IFERROR(VLOOKUP($H398,'[1]Actual &amp; PO  Analysis 2020'!$A$4:$BP$300,68,0),"")</f>
        <v/>
      </c>
      <c r="K398" s="24" t="str">
        <f>IFERROR(VLOOKUP($H398,'[1]Actual &amp; PO  Analysis 2020'!$A$4:$BV$300,74,0),"")</f>
        <v/>
      </c>
      <c r="L398" s="24" t="str">
        <f>IFERROR(VLOOKUP($H398,'[1]Actual &amp; PO  Analysis 2020'!$A$4:$CB$300,80,0),"")</f>
        <v/>
      </c>
      <c r="M398" s="24" t="str">
        <f>IFERROR(VLOOKUP($H398,'[1]Actual &amp; PO  Analysis 2020'!$A$4:$CH$300,86,0),"")</f>
        <v/>
      </c>
      <c r="N398" s="25">
        <v>0</v>
      </c>
    </row>
    <row r="399" spans="1:14" x14ac:dyDescent="0.25">
      <c r="A399" s="11" t="s">
        <v>19</v>
      </c>
      <c r="B399" s="17">
        <v>0</v>
      </c>
      <c r="C399" s="17">
        <v>1.623</v>
      </c>
      <c r="D399" s="17">
        <v>0.90399999999999991</v>
      </c>
      <c r="E399" s="17">
        <v>6.4000000000000001E-2</v>
      </c>
      <c r="F399" s="17">
        <v>0.27600000000000002</v>
      </c>
      <c r="G399" s="22">
        <f t="shared" si="6"/>
        <v>2.867</v>
      </c>
      <c r="H399" s="11" t="s">
        <v>441</v>
      </c>
      <c r="I399" s="24">
        <f>IFERROR(VLOOKUP($H399,'[1]Actual &amp; PO  Analysis 2020'!$A$4:$BJ$300,62,0),"")</f>
        <v>0</v>
      </c>
      <c r="J399" s="24">
        <f>IFERROR(VLOOKUP($H399,'[1]Actual &amp; PO  Analysis 2020'!$A$4:$BP$300,68,0),"")</f>
        <v>0</v>
      </c>
      <c r="K399" s="24">
        <f>IFERROR(VLOOKUP($H399,'[1]Actual &amp; PO  Analysis 2020'!$A$4:$BV$300,74,0),"")</f>
        <v>0</v>
      </c>
      <c r="L399" s="24">
        <f>IFERROR(VLOOKUP($H399,'[1]Actual &amp; PO  Analysis 2020'!$A$4:$CB$300,80,0),"")</f>
        <v>0</v>
      </c>
      <c r="M399" s="24">
        <f>IFERROR(VLOOKUP($H399,'[1]Actual &amp; PO  Analysis 2020'!$A$4:$CH$300,86,0),"")</f>
        <v>0</v>
      </c>
      <c r="N399" s="25">
        <v>0</v>
      </c>
    </row>
    <row r="400" spans="1:14" x14ac:dyDescent="0.25">
      <c r="A400" s="11" t="s">
        <v>48</v>
      </c>
      <c r="B400" s="17">
        <v>0</v>
      </c>
      <c r="C400" s="17">
        <v>2.16</v>
      </c>
      <c r="D400" s="17">
        <v>4.8600000000000003</v>
      </c>
      <c r="E400" s="17">
        <v>0.18</v>
      </c>
      <c r="F400" s="17">
        <v>1.08</v>
      </c>
      <c r="G400" s="22">
        <f t="shared" si="6"/>
        <v>8.2800000000000011</v>
      </c>
      <c r="H400" s="11" t="s">
        <v>442</v>
      </c>
      <c r="I400" s="24" t="str">
        <f>IFERROR(VLOOKUP($H400,'[1]Actual &amp; PO  Analysis 2020'!$A$4:$BJ$300,62,0),"")</f>
        <v/>
      </c>
      <c r="J400" s="24" t="str">
        <f>IFERROR(VLOOKUP($H400,'[1]Actual &amp; PO  Analysis 2020'!$A$4:$BP$300,68,0),"")</f>
        <v/>
      </c>
      <c r="K400" s="24" t="str">
        <f>IFERROR(VLOOKUP($H400,'[1]Actual &amp; PO  Analysis 2020'!$A$4:$BV$300,74,0),"")</f>
        <v/>
      </c>
      <c r="L400" s="24" t="str">
        <f>IFERROR(VLOOKUP($H400,'[1]Actual &amp; PO  Analysis 2020'!$A$4:$CB$300,80,0),"")</f>
        <v/>
      </c>
      <c r="M400" s="24" t="str">
        <f>IFERROR(VLOOKUP($H400,'[1]Actual &amp; PO  Analysis 2020'!$A$4:$CH$300,86,0),"")</f>
        <v/>
      </c>
      <c r="N400" s="25">
        <v>0</v>
      </c>
    </row>
    <row r="401" spans="1:14" x14ac:dyDescent="0.25">
      <c r="A401" s="11" t="s">
        <v>23</v>
      </c>
      <c r="B401" s="17">
        <v>0</v>
      </c>
      <c r="C401" s="17">
        <v>1.419</v>
      </c>
      <c r="D401" s="17">
        <v>1.9750000000000001</v>
      </c>
      <c r="E401" s="17">
        <v>0.14399999999999999</v>
      </c>
      <c r="F401" s="17">
        <v>0.56200000000000006</v>
      </c>
      <c r="G401" s="22">
        <f t="shared" si="6"/>
        <v>4.1000000000000005</v>
      </c>
      <c r="H401" s="11" t="s">
        <v>333</v>
      </c>
      <c r="I401" s="24" t="str">
        <f>IFERROR(VLOOKUP($H401,'[1]Actual &amp; PO  Analysis 2020'!$A$4:$BJ$300,62,0),"")</f>
        <v/>
      </c>
      <c r="J401" s="24" t="str">
        <f>IFERROR(VLOOKUP($H401,'[1]Actual &amp; PO  Analysis 2020'!$A$4:$BP$300,68,0),"")</f>
        <v/>
      </c>
      <c r="K401" s="24" t="str">
        <f>IFERROR(VLOOKUP($H401,'[1]Actual &amp; PO  Analysis 2020'!$A$4:$BV$300,74,0),"")</f>
        <v/>
      </c>
      <c r="L401" s="24" t="str">
        <f>IFERROR(VLOOKUP($H401,'[1]Actual &amp; PO  Analysis 2020'!$A$4:$CB$300,80,0),"")</f>
        <v/>
      </c>
      <c r="M401" s="24" t="str">
        <f>IFERROR(VLOOKUP($H401,'[1]Actual &amp; PO  Analysis 2020'!$A$4:$CH$300,86,0),"")</f>
        <v/>
      </c>
      <c r="N401" s="25">
        <v>0</v>
      </c>
    </row>
    <row r="402" spans="1:14" x14ac:dyDescent="0.25">
      <c r="A402" s="11" t="s">
        <v>50</v>
      </c>
      <c r="B402" s="17">
        <v>0</v>
      </c>
      <c r="C402" s="17">
        <v>2.57</v>
      </c>
      <c r="D402" s="17">
        <v>2.52</v>
      </c>
      <c r="E402" s="17">
        <v>0.1</v>
      </c>
      <c r="F402" s="17">
        <v>0.61</v>
      </c>
      <c r="G402" s="22">
        <f t="shared" si="6"/>
        <v>5.8</v>
      </c>
      <c r="H402" s="11" t="s">
        <v>76</v>
      </c>
      <c r="I402" s="24" t="str">
        <f>IFERROR(VLOOKUP($H402,'[1]Actual &amp; PO  Analysis 2020'!$A$4:$BJ$300,62,0),"")</f>
        <v/>
      </c>
      <c r="J402" s="24" t="str">
        <f>IFERROR(VLOOKUP($H402,'[1]Actual &amp; PO  Analysis 2020'!$A$4:$BP$300,68,0),"")</f>
        <v/>
      </c>
      <c r="K402" s="24" t="str">
        <f>IFERROR(VLOOKUP($H402,'[1]Actual &amp; PO  Analysis 2020'!$A$4:$BV$300,74,0),"")</f>
        <v/>
      </c>
      <c r="L402" s="24" t="str">
        <f>IFERROR(VLOOKUP($H402,'[1]Actual &amp; PO  Analysis 2020'!$A$4:$CB$300,80,0),"")</f>
        <v/>
      </c>
      <c r="M402" s="24" t="str">
        <f>IFERROR(VLOOKUP($H402,'[1]Actual &amp; PO  Analysis 2020'!$A$4:$CH$300,86,0),"")</f>
        <v/>
      </c>
      <c r="N402" s="25">
        <v>0</v>
      </c>
    </row>
    <row r="403" spans="1:14" x14ac:dyDescent="0.25">
      <c r="A403" s="11" t="s">
        <v>100</v>
      </c>
      <c r="B403" s="17">
        <v>0</v>
      </c>
      <c r="C403" s="17">
        <v>3.4809999999999999</v>
      </c>
      <c r="D403" s="17">
        <v>4.3499999999999996</v>
      </c>
      <c r="E403" s="17">
        <v>0.106</v>
      </c>
      <c r="F403" s="17">
        <v>1.2629999999999999</v>
      </c>
      <c r="G403" s="22">
        <f t="shared" si="6"/>
        <v>9.1999999999999993</v>
      </c>
      <c r="H403" s="11" t="s">
        <v>19</v>
      </c>
      <c r="I403" s="24" t="str">
        <f>IFERROR(VLOOKUP($H403,'[1]Actual &amp; PO  Analysis 2020'!$A$4:$BJ$300,62,0),"")</f>
        <v/>
      </c>
      <c r="J403" s="24" t="str">
        <f>IFERROR(VLOOKUP($H403,'[1]Actual &amp; PO  Analysis 2020'!$A$4:$BP$300,68,0),"")</f>
        <v/>
      </c>
      <c r="K403" s="24" t="str">
        <f>IFERROR(VLOOKUP($H403,'[1]Actual &amp; PO  Analysis 2020'!$A$4:$BV$300,74,0),"")</f>
        <v/>
      </c>
      <c r="L403" s="24" t="str">
        <f>IFERROR(VLOOKUP($H403,'[1]Actual &amp; PO  Analysis 2020'!$A$4:$CB$300,80,0),"")</f>
        <v/>
      </c>
      <c r="M403" s="24" t="str">
        <f>IFERROR(VLOOKUP($H403,'[1]Actual &amp; PO  Analysis 2020'!$A$4:$CH$300,86,0),"")</f>
        <v/>
      </c>
      <c r="N403" s="25">
        <v>0</v>
      </c>
    </row>
    <row r="404" spans="1:14" x14ac:dyDescent="0.25">
      <c r="A404" s="11" t="s">
        <v>209</v>
      </c>
      <c r="B404" s="17">
        <v>0</v>
      </c>
      <c r="C404" s="17">
        <v>4.01</v>
      </c>
      <c r="D404" s="17">
        <v>3.12</v>
      </c>
      <c r="E404" s="17">
        <v>0.1</v>
      </c>
      <c r="F404" s="17">
        <v>0.85</v>
      </c>
      <c r="G404" s="22">
        <f t="shared" si="6"/>
        <v>8.08</v>
      </c>
      <c r="H404" s="11" t="s">
        <v>48</v>
      </c>
      <c r="I404" s="24" t="str">
        <f>IFERROR(VLOOKUP($H404,'[1]Actual &amp; PO  Analysis 2020'!$A$4:$BJ$300,62,0),"")</f>
        <v/>
      </c>
      <c r="J404" s="24" t="str">
        <f>IFERROR(VLOOKUP($H404,'[1]Actual &amp; PO  Analysis 2020'!$A$4:$BP$300,68,0),"")</f>
        <v/>
      </c>
      <c r="K404" s="24" t="str">
        <f>IFERROR(VLOOKUP($H404,'[1]Actual &amp; PO  Analysis 2020'!$A$4:$BV$300,74,0),"")</f>
        <v/>
      </c>
      <c r="L404" s="24" t="str">
        <f>IFERROR(VLOOKUP($H404,'[1]Actual &amp; PO  Analysis 2020'!$A$4:$CB$300,80,0),"")</f>
        <v/>
      </c>
      <c r="M404" s="24" t="str">
        <f>IFERROR(VLOOKUP($H404,'[1]Actual &amp; PO  Analysis 2020'!$A$4:$CH$300,86,0),"")</f>
        <v/>
      </c>
      <c r="N404" s="25">
        <v>0</v>
      </c>
    </row>
    <row r="405" spans="1:14" x14ac:dyDescent="0.25">
      <c r="A405" s="11" t="s">
        <v>199</v>
      </c>
      <c r="B405" s="17">
        <v>0</v>
      </c>
      <c r="C405" s="17">
        <v>5.5380000000000003</v>
      </c>
      <c r="D405" s="17">
        <v>3.4870000000000001</v>
      </c>
      <c r="E405" s="17">
        <v>0.10100000000000001</v>
      </c>
      <c r="F405" s="17">
        <v>0.85399999999999998</v>
      </c>
      <c r="G405" s="22">
        <f t="shared" si="6"/>
        <v>9.98</v>
      </c>
      <c r="H405" s="11" t="s">
        <v>23</v>
      </c>
      <c r="I405" s="24" t="str">
        <f>IFERROR(VLOOKUP($H405,'[1]Actual &amp; PO  Analysis 2020'!$A$4:$BJ$300,62,0),"")</f>
        <v/>
      </c>
      <c r="J405" s="24" t="str">
        <f>IFERROR(VLOOKUP($H405,'[1]Actual &amp; PO  Analysis 2020'!$A$4:$BP$300,68,0),"")</f>
        <v/>
      </c>
      <c r="K405" s="24" t="str">
        <f>IFERROR(VLOOKUP($H405,'[1]Actual &amp; PO  Analysis 2020'!$A$4:$BV$300,74,0),"")</f>
        <v/>
      </c>
      <c r="L405" s="24" t="str">
        <f>IFERROR(VLOOKUP($H405,'[1]Actual &amp; PO  Analysis 2020'!$A$4:$CB$300,80,0),"")</f>
        <v/>
      </c>
      <c r="M405" s="24" t="str">
        <f>IFERROR(VLOOKUP($H405,'[1]Actual &amp; PO  Analysis 2020'!$A$4:$CH$300,86,0),"")</f>
        <v/>
      </c>
      <c r="N405" s="25">
        <v>0</v>
      </c>
    </row>
    <row r="406" spans="1:14" x14ac:dyDescent="0.25">
      <c r="A406" s="11" t="s">
        <v>200</v>
      </c>
      <c r="B406" s="17">
        <v>0</v>
      </c>
      <c r="C406" s="17">
        <v>5.202</v>
      </c>
      <c r="D406" s="17">
        <v>3.6989999999999998</v>
      </c>
      <c r="E406" s="17">
        <v>0.11600000000000001</v>
      </c>
      <c r="F406" s="17">
        <v>0.98299999999999998</v>
      </c>
      <c r="G406" s="22">
        <f t="shared" si="6"/>
        <v>10</v>
      </c>
      <c r="H406" s="11" t="s">
        <v>50</v>
      </c>
      <c r="I406" s="24" t="str">
        <f>IFERROR(VLOOKUP($H406,'[1]Actual &amp; PO  Analysis 2020'!$A$4:$BJ$300,62,0),"")</f>
        <v/>
      </c>
      <c r="J406" s="24" t="str">
        <f>IFERROR(VLOOKUP($H406,'[1]Actual &amp; PO  Analysis 2020'!$A$4:$BP$300,68,0),"")</f>
        <v/>
      </c>
      <c r="K406" s="24" t="str">
        <f>IFERROR(VLOOKUP($H406,'[1]Actual &amp; PO  Analysis 2020'!$A$4:$BV$300,74,0),"")</f>
        <v/>
      </c>
      <c r="L406" s="24" t="str">
        <f>IFERROR(VLOOKUP($H406,'[1]Actual &amp; PO  Analysis 2020'!$A$4:$CB$300,80,0),"")</f>
        <v/>
      </c>
      <c r="M406" s="24" t="str">
        <f>IFERROR(VLOOKUP($H406,'[1]Actual &amp; PO  Analysis 2020'!$A$4:$CH$300,86,0),"")</f>
        <v/>
      </c>
      <c r="N406" s="25">
        <v>0</v>
      </c>
    </row>
    <row r="407" spans="1:14" x14ac:dyDescent="0.25">
      <c r="A407" s="11" t="s">
        <v>439</v>
      </c>
      <c r="B407" s="17">
        <v>0</v>
      </c>
      <c r="C407" s="17">
        <v>2.57</v>
      </c>
      <c r="D407" s="17">
        <v>2.52</v>
      </c>
      <c r="E407" s="17">
        <v>0</v>
      </c>
      <c r="F407" s="17">
        <v>0.82</v>
      </c>
      <c r="G407" s="22">
        <f t="shared" si="6"/>
        <v>5.91</v>
      </c>
      <c r="H407" s="11" t="s">
        <v>100</v>
      </c>
      <c r="I407" s="24" t="str">
        <f>IFERROR(VLOOKUP($H407,'[1]Actual &amp; PO  Analysis 2020'!$A$4:$BJ$300,62,0),"")</f>
        <v>0</v>
      </c>
      <c r="J407" s="24">
        <f>IFERROR(VLOOKUP($H407,'[1]Actual &amp; PO  Analysis 2020'!$A$4:$BP$300,68,0),"")</f>
        <v>6.0804999999999998</v>
      </c>
      <c r="K407" s="24">
        <f>IFERROR(VLOOKUP($H407,'[1]Actual &amp; PO  Analysis 2020'!$A$4:$BV$300,74,0),"")</f>
        <v>2.4600000000000004</v>
      </c>
      <c r="L407" s="24">
        <f>IFERROR(VLOOKUP($H407,'[1]Actual &amp; PO  Analysis 2020'!$A$4:$CB$300,80,0),"")</f>
        <v>0.16549999999999998</v>
      </c>
      <c r="M407" s="24">
        <f>IFERROR(VLOOKUP($H407,'[1]Actual &amp; PO  Analysis 2020'!$A$4:$CH$300,86,0),"")</f>
        <v>1.0035000000000001</v>
      </c>
      <c r="N407" s="25">
        <v>9.4610000000000021</v>
      </c>
    </row>
    <row r="408" spans="1:14" x14ac:dyDescent="0.25">
      <c r="A408" s="11" t="s">
        <v>77</v>
      </c>
      <c r="B408" s="17">
        <v>0</v>
      </c>
      <c r="C408" s="17">
        <v>3.0609999999999999</v>
      </c>
      <c r="D408" s="17">
        <v>2.238</v>
      </c>
      <c r="E408" s="17">
        <v>0.14199999999999999</v>
      </c>
      <c r="F408" s="17">
        <v>0.96399999999999997</v>
      </c>
      <c r="G408" s="22">
        <f t="shared" si="6"/>
        <v>6.4049999999999994</v>
      </c>
      <c r="H408" s="11" t="s">
        <v>209</v>
      </c>
      <c r="I408" s="24" t="str">
        <f>IFERROR(VLOOKUP($H408,'[1]Actual &amp; PO  Analysis 2020'!$A$4:$BJ$300,62,0),"")</f>
        <v/>
      </c>
      <c r="J408" s="24" t="str">
        <f>IFERROR(VLOOKUP($H408,'[1]Actual &amp; PO  Analysis 2020'!$A$4:$BP$300,68,0),"")</f>
        <v/>
      </c>
      <c r="K408" s="24" t="str">
        <f>IFERROR(VLOOKUP($H408,'[1]Actual &amp; PO  Analysis 2020'!$A$4:$BV$300,74,0),"")</f>
        <v/>
      </c>
      <c r="L408" s="24" t="str">
        <f>IFERROR(VLOOKUP($H408,'[1]Actual &amp; PO  Analysis 2020'!$A$4:$CB$300,80,0),"")</f>
        <v/>
      </c>
      <c r="M408" s="24" t="str">
        <f>IFERROR(VLOOKUP($H408,'[1]Actual &amp; PO  Analysis 2020'!$A$4:$CH$300,86,0),"")</f>
        <v/>
      </c>
      <c r="N408" s="25">
        <v>0</v>
      </c>
    </row>
    <row r="409" spans="1:14" x14ac:dyDescent="0.25">
      <c r="A409" s="11" t="s">
        <v>249</v>
      </c>
      <c r="B409" s="17">
        <v>0</v>
      </c>
      <c r="C409" s="17">
        <v>0</v>
      </c>
      <c r="D409" s="17">
        <v>0</v>
      </c>
      <c r="E409" s="17">
        <v>0</v>
      </c>
      <c r="F409" s="17">
        <v>0</v>
      </c>
      <c r="G409" s="22">
        <f t="shared" si="6"/>
        <v>0</v>
      </c>
      <c r="H409" s="11" t="s">
        <v>199</v>
      </c>
      <c r="I409" s="24" t="str">
        <f>IFERROR(VLOOKUP($H409,'[1]Actual &amp; PO  Analysis 2020'!$A$4:$BJ$300,62,0),"")</f>
        <v>0</v>
      </c>
      <c r="J409" s="24">
        <f>IFERROR(VLOOKUP($H409,'[1]Actual &amp; PO  Analysis 2020'!$A$4:$BP$300,68,0),"")</f>
        <v>4.4780000000000006</v>
      </c>
      <c r="K409" s="24">
        <f>IFERROR(VLOOKUP($H409,'[1]Actual &amp; PO  Analysis 2020'!$A$4:$BV$300,74,0),"")</f>
        <v>3.4319999999999999</v>
      </c>
      <c r="L409" s="24">
        <f>IFERROR(VLOOKUP($H409,'[1]Actual &amp; PO  Analysis 2020'!$A$4:$CB$300,80,0),"")</f>
        <v>0.17200000000000001</v>
      </c>
      <c r="M409" s="24">
        <f>IFERROR(VLOOKUP($H409,'[1]Actual &amp; PO  Analysis 2020'!$A$4:$CH$300,86,0),"")</f>
        <v>1.2929999999999999</v>
      </c>
      <c r="N409" s="25">
        <v>10.235333333333333</v>
      </c>
    </row>
    <row r="410" spans="1:14" x14ac:dyDescent="0.25">
      <c r="A410" s="11" t="s">
        <v>443</v>
      </c>
      <c r="B410" s="17">
        <v>0</v>
      </c>
      <c r="C410" s="17">
        <v>5</v>
      </c>
      <c r="D410" s="17">
        <v>2.15</v>
      </c>
      <c r="E410" s="17">
        <v>0</v>
      </c>
      <c r="F410" s="17">
        <v>0.65</v>
      </c>
      <c r="G410" s="22">
        <f t="shared" si="6"/>
        <v>7.8000000000000007</v>
      </c>
      <c r="H410" s="11" t="s">
        <v>200</v>
      </c>
      <c r="I410" s="24" t="str">
        <f>IFERROR(VLOOKUP($H410,'[1]Actual &amp; PO  Analysis 2020'!$A$4:$BJ$300,62,0),"")</f>
        <v>0</v>
      </c>
      <c r="J410" s="24">
        <f>IFERROR(VLOOKUP($H410,'[1]Actual &amp; PO  Analysis 2020'!$A$4:$BP$300,68,0),"")</f>
        <v>4.1154999999999999</v>
      </c>
      <c r="K410" s="24">
        <f>IFERROR(VLOOKUP($H410,'[1]Actual &amp; PO  Analysis 2020'!$A$4:$BV$300,74,0),"")</f>
        <v>1.677</v>
      </c>
      <c r="L410" s="24">
        <f>IFERROR(VLOOKUP($H410,'[1]Actual &amp; PO  Analysis 2020'!$A$4:$CB$300,80,0),"")</f>
        <v>0.15049999999999999</v>
      </c>
      <c r="M410" s="24">
        <f>IFERROR(VLOOKUP($H410,'[1]Actual &amp; PO  Analysis 2020'!$A$4:$CH$300,86,0),"")</f>
        <v>0.87533333333333341</v>
      </c>
      <c r="N410" s="25">
        <v>10.233333333333334</v>
      </c>
    </row>
    <row r="411" spans="1:14" x14ac:dyDescent="0.25">
      <c r="A411" s="11" t="s">
        <v>431</v>
      </c>
      <c r="B411" s="17">
        <v>0</v>
      </c>
      <c r="C411" s="17">
        <v>4.6399999999999997</v>
      </c>
      <c r="D411" s="17">
        <v>2.1</v>
      </c>
      <c r="E411" s="17">
        <v>0</v>
      </c>
      <c r="F411" s="17">
        <v>0.62</v>
      </c>
      <c r="G411" s="22">
        <f t="shared" si="6"/>
        <v>7.36</v>
      </c>
      <c r="H411" s="11" t="s">
        <v>439</v>
      </c>
      <c r="I411" s="24" t="str">
        <f>IFERROR(VLOOKUP($H411,'[1]Actual &amp; PO  Analysis 2020'!$A$4:$BJ$300,62,0),"")</f>
        <v>0</v>
      </c>
      <c r="J411" s="24">
        <f>IFERROR(VLOOKUP($H411,'[1]Actual &amp; PO  Analysis 2020'!$A$4:$BP$300,68,0),"")</f>
        <v>6.1942000000000004</v>
      </c>
      <c r="K411" s="24">
        <f>IFERROR(VLOOKUP($H411,'[1]Actual &amp; PO  Analysis 2020'!$A$4:$BV$300,74,0),"")</f>
        <v>2.5825</v>
      </c>
      <c r="L411" s="24">
        <f>IFERROR(VLOOKUP($H411,'[1]Actual &amp; PO  Analysis 2020'!$A$4:$CB$300,80,0),"")</f>
        <v>0.16975000000000001</v>
      </c>
      <c r="M411" s="24">
        <f>IFERROR(VLOOKUP($H411,'[1]Actual &amp; PO  Analysis 2020'!$A$4:$CH$300,86,0),"")</f>
        <v>1.1919999999999999</v>
      </c>
      <c r="N411" s="25">
        <v>9.375</v>
      </c>
    </row>
    <row r="412" spans="1:14" x14ac:dyDescent="0.25">
      <c r="A412" s="11" t="s">
        <v>432</v>
      </c>
      <c r="B412" s="17">
        <v>0</v>
      </c>
      <c r="C412" s="17">
        <v>5.36</v>
      </c>
      <c r="D412" s="17">
        <v>2.1</v>
      </c>
      <c r="E412" s="17">
        <v>0</v>
      </c>
      <c r="F412" s="17">
        <v>0.62</v>
      </c>
      <c r="G412" s="22">
        <f t="shared" si="6"/>
        <v>8.08</v>
      </c>
      <c r="H412" s="11" t="s">
        <v>77</v>
      </c>
      <c r="I412" s="24" t="str">
        <f>IFERROR(VLOOKUP($H412,'[1]Actual &amp; PO  Analysis 2020'!$A$4:$BJ$300,62,0),"")</f>
        <v/>
      </c>
      <c r="J412" s="24" t="str">
        <f>IFERROR(VLOOKUP($H412,'[1]Actual &amp; PO  Analysis 2020'!$A$4:$BP$300,68,0),"")</f>
        <v/>
      </c>
      <c r="K412" s="24" t="str">
        <f>IFERROR(VLOOKUP($H412,'[1]Actual &amp; PO  Analysis 2020'!$A$4:$BV$300,74,0),"")</f>
        <v/>
      </c>
      <c r="L412" s="24" t="str">
        <f>IFERROR(VLOOKUP($H412,'[1]Actual &amp; PO  Analysis 2020'!$A$4:$CB$300,80,0),"")</f>
        <v/>
      </c>
      <c r="M412" s="24" t="str">
        <f>IFERROR(VLOOKUP($H412,'[1]Actual &amp; PO  Analysis 2020'!$A$4:$CH$300,86,0),"")</f>
        <v/>
      </c>
      <c r="N412" s="25">
        <v>0</v>
      </c>
    </row>
    <row r="413" spans="1:14" x14ac:dyDescent="0.25">
      <c r="A413" s="11" t="s">
        <v>116</v>
      </c>
      <c r="B413" s="17">
        <v>0</v>
      </c>
      <c r="C413" s="17">
        <v>1.673</v>
      </c>
      <c r="D413" s="17">
        <v>3.46</v>
      </c>
      <c r="E413" s="17">
        <v>0.14199999999999999</v>
      </c>
      <c r="F413" s="17">
        <v>0.879</v>
      </c>
      <c r="G413" s="22">
        <f t="shared" si="6"/>
        <v>6.1539999999999999</v>
      </c>
      <c r="H413" s="11" t="s">
        <v>249</v>
      </c>
      <c r="I413" s="24" t="str">
        <f>IFERROR(VLOOKUP($H413,'[1]Actual &amp; PO  Analysis 2020'!$A$4:$BJ$300,62,0),"")</f>
        <v/>
      </c>
      <c r="J413" s="24" t="str">
        <f>IFERROR(VLOOKUP($H413,'[1]Actual &amp; PO  Analysis 2020'!$A$4:$BP$300,68,0),"")</f>
        <v/>
      </c>
      <c r="K413" s="24" t="str">
        <f>IFERROR(VLOOKUP($H413,'[1]Actual &amp; PO  Analysis 2020'!$A$4:$BV$300,74,0),"")</f>
        <v/>
      </c>
      <c r="L413" s="24" t="str">
        <f>IFERROR(VLOOKUP($H413,'[1]Actual &amp; PO  Analysis 2020'!$A$4:$CB$300,80,0),"")</f>
        <v/>
      </c>
      <c r="M413" s="24" t="str">
        <f>IFERROR(VLOOKUP($H413,'[1]Actual &amp; PO  Analysis 2020'!$A$4:$CH$300,86,0),"")</f>
        <v/>
      </c>
      <c r="N413" s="25">
        <v>0</v>
      </c>
    </row>
    <row r="414" spans="1:14" x14ac:dyDescent="0.25">
      <c r="A414" s="11" t="s">
        <v>117</v>
      </c>
      <c r="B414" s="17">
        <v>0</v>
      </c>
      <c r="C414" s="17">
        <v>1.69</v>
      </c>
      <c r="D414" s="17">
        <v>2.8730000000000002</v>
      </c>
      <c r="E414" s="17">
        <v>0.127</v>
      </c>
      <c r="F414" s="17">
        <v>0.877</v>
      </c>
      <c r="G414" s="22">
        <f t="shared" si="6"/>
        <v>5.5670000000000002</v>
      </c>
      <c r="H414" s="11" t="s">
        <v>443</v>
      </c>
      <c r="I414" s="24" t="str">
        <f>IFERROR(VLOOKUP($H414,'[1]Actual &amp; PO  Analysis 2020'!$A$4:$BJ$300,62,0),"")</f>
        <v>0</v>
      </c>
      <c r="J414" s="24">
        <f>IFERROR(VLOOKUP($H414,'[1]Actual &amp; PO  Analysis 2020'!$A$4:$BP$300,68,0),"")</f>
        <v>7.5454999999999997</v>
      </c>
      <c r="K414" s="24">
        <f>IFERROR(VLOOKUP($H414,'[1]Actual &amp; PO  Analysis 2020'!$A$4:$BV$300,74,0),"")</f>
        <v>4.1162500000000009</v>
      </c>
      <c r="L414" s="24">
        <f>IFERROR(VLOOKUP($H414,'[1]Actual &amp; PO  Analysis 2020'!$A$4:$CB$300,80,0),"")</f>
        <v>0.17625000000000002</v>
      </c>
      <c r="M414" s="24">
        <f>IFERROR(VLOOKUP($H414,'[1]Actual &amp; PO  Analysis 2020'!$A$4:$CH$300,86,0),"")</f>
        <v>1.1065999999999998</v>
      </c>
      <c r="N414" s="25">
        <v>6.9873333333333338</v>
      </c>
    </row>
    <row r="415" spans="1:14" x14ac:dyDescent="0.25">
      <c r="A415" s="11" t="s">
        <v>81</v>
      </c>
      <c r="B415" s="17">
        <v>0</v>
      </c>
      <c r="C415" s="17">
        <v>1.59</v>
      </c>
      <c r="D415" s="17">
        <v>5.61</v>
      </c>
      <c r="E415" s="17">
        <v>0.1</v>
      </c>
      <c r="F415" s="17">
        <v>1.58</v>
      </c>
      <c r="G415" s="22">
        <f t="shared" si="6"/>
        <v>8.879999999999999</v>
      </c>
      <c r="H415" s="11" t="s">
        <v>431</v>
      </c>
      <c r="I415" s="24" t="str">
        <f>IFERROR(VLOOKUP($H415,'[1]Actual &amp; PO  Analysis 2020'!$A$4:$BJ$300,62,0),"")</f>
        <v/>
      </c>
      <c r="J415" s="24" t="str">
        <f>IFERROR(VLOOKUP($H415,'[1]Actual &amp; PO  Analysis 2020'!$A$4:$BP$300,68,0),"")</f>
        <v/>
      </c>
      <c r="K415" s="24" t="str">
        <f>IFERROR(VLOOKUP($H415,'[1]Actual &amp; PO  Analysis 2020'!$A$4:$BV$300,74,0),"")</f>
        <v/>
      </c>
      <c r="L415" s="24" t="str">
        <f>IFERROR(VLOOKUP($H415,'[1]Actual &amp; PO  Analysis 2020'!$A$4:$CB$300,80,0),"")</f>
        <v/>
      </c>
      <c r="M415" s="24" t="str">
        <f>IFERROR(VLOOKUP($H415,'[1]Actual &amp; PO  Analysis 2020'!$A$4:$CH$300,86,0),"")</f>
        <v/>
      </c>
      <c r="N415" s="25">
        <v>0</v>
      </c>
    </row>
    <row r="416" spans="1:14" x14ac:dyDescent="0.25">
      <c r="A416" s="11" t="s">
        <v>313</v>
      </c>
      <c r="B416" s="17">
        <v>0</v>
      </c>
      <c r="C416" s="17">
        <v>6.5030000000000001</v>
      </c>
      <c r="D416" s="17">
        <v>2.9449999999999998</v>
      </c>
      <c r="E416" s="17">
        <v>8.1000000000000003E-2</v>
      </c>
      <c r="F416" s="17">
        <v>0.871</v>
      </c>
      <c r="G416" s="22">
        <f t="shared" si="6"/>
        <v>10.4</v>
      </c>
      <c r="H416" s="11" t="s">
        <v>432</v>
      </c>
      <c r="I416" s="24" t="str">
        <f>IFERROR(VLOOKUP($H416,'[1]Actual &amp; PO  Analysis 2020'!$A$4:$BJ$300,62,0),"")</f>
        <v>0</v>
      </c>
      <c r="J416" s="24">
        <f>IFERROR(VLOOKUP($H416,'[1]Actual &amp; PO  Analysis 2020'!$A$4:$BP$300,68,0),"")</f>
        <v>6.2732000000000001</v>
      </c>
      <c r="K416" s="24">
        <f>IFERROR(VLOOKUP($H416,'[1]Actual &amp; PO  Analysis 2020'!$A$4:$BV$300,74,0),"")</f>
        <v>3.8397999999999994</v>
      </c>
      <c r="L416" s="24">
        <f>IFERROR(VLOOKUP($H416,'[1]Actual &amp; PO  Analysis 2020'!$A$4:$CB$300,80,0),"")</f>
        <v>0.17319999999999997</v>
      </c>
      <c r="M416" s="24">
        <f>IFERROR(VLOOKUP($H416,'[1]Actual &amp; PO  Analysis 2020'!$A$4:$CH$300,86,0),"")</f>
        <v>1.6168333333333333</v>
      </c>
      <c r="N416" s="25">
        <v>10.056800000000001</v>
      </c>
    </row>
    <row r="417" spans="1:14" x14ac:dyDescent="0.25">
      <c r="A417" s="11" t="s">
        <v>437</v>
      </c>
      <c r="B417" s="17">
        <v>0</v>
      </c>
      <c r="C417" s="17">
        <v>1.3</v>
      </c>
      <c r="D417" s="17">
        <v>1.77</v>
      </c>
      <c r="E417" s="17">
        <v>0</v>
      </c>
      <c r="F417" s="17">
        <v>0.55000000000000004</v>
      </c>
      <c r="G417" s="22">
        <f t="shared" si="6"/>
        <v>3.62</v>
      </c>
      <c r="H417" s="11" t="s">
        <v>116</v>
      </c>
      <c r="I417" s="24" t="str">
        <f>IFERROR(VLOOKUP($H417,'[1]Actual &amp; PO  Analysis 2020'!$A$4:$BJ$300,62,0),"")</f>
        <v>0</v>
      </c>
      <c r="J417" s="24">
        <f>IFERROR(VLOOKUP($H417,'[1]Actual &amp; PO  Analysis 2020'!$A$4:$BP$300,68,0),"")</f>
        <v>1.3863333333333332</v>
      </c>
      <c r="K417" s="24">
        <f>IFERROR(VLOOKUP($H417,'[1]Actual &amp; PO  Analysis 2020'!$A$4:$BV$300,74,0),"")</f>
        <v>5.1236666666666668</v>
      </c>
      <c r="L417" s="24">
        <f>IFERROR(VLOOKUP($H417,'[1]Actual &amp; PO  Analysis 2020'!$A$4:$CB$300,80,0),"")</f>
        <v>0.17666666666666667</v>
      </c>
      <c r="M417" s="24">
        <f>IFERROR(VLOOKUP($H417,'[1]Actual &amp; PO  Analysis 2020'!$A$4:$CH$300,86,0),"")</f>
        <v>1.1025</v>
      </c>
      <c r="N417" s="25">
        <v>12.201083333333333</v>
      </c>
    </row>
    <row r="418" spans="1:14" x14ac:dyDescent="0.25">
      <c r="A418" s="11" t="s">
        <v>449</v>
      </c>
      <c r="B418" s="17">
        <v>0</v>
      </c>
      <c r="C418" s="17">
        <v>1.8</v>
      </c>
      <c r="D418" s="17">
        <v>1.78</v>
      </c>
      <c r="E418" s="17">
        <v>0</v>
      </c>
      <c r="F418" s="17">
        <v>0.55000000000000004</v>
      </c>
      <c r="G418" s="22">
        <f t="shared" si="6"/>
        <v>4.13</v>
      </c>
      <c r="H418" s="11" t="s">
        <v>117</v>
      </c>
      <c r="I418" s="24" t="str">
        <f>IFERROR(VLOOKUP($H418,'[1]Actual &amp; PO  Analysis 2020'!$A$4:$BJ$300,62,0),"")</f>
        <v>0</v>
      </c>
      <c r="J418" s="24">
        <f>IFERROR(VLOOKUP($H418,'[1]Actual &amp; PO  Analysis 2020'!$A$4:$BP$300,68,0),"")</f>
        <v>1.512</v>
      </c>
      <c r="K418" s="24">
        <f>IFERROR(VLOOKUP($H418,'[1]Actual &amp; PO  Analysis 2020'!$A$4:$BV$300,74,0),"")</f>
        <v>4.66</v>
      </c>
      <c r="L418" s="24">
        <f>IFERROR(VLOOKUP($H418,'[1]Actual &amp; PO  Analysis 2020'!$A$4:$CB$300,80,0),"")</f>
        <v>0.23866666666666667</v>
      </c>
      <c r="M418" s="24">
        <f>IFERROR(VLOOKUP($H418,'[1]Actual &amp; PO  Analysis 2020'!$A$4:$CH$300,86,0),"")</f>
        <v>1.4053333333333333</v>
      </c>
      <c r="N418" s="25">
        <v>12.713416666666667</v>
      </c>
    </row>
    <row r="419" spans="1:14" x14ac:dyDescent="0.25">
      <c r="A419" s="11" t="s">
        <v>10</v>
      </c>
      <c r="B419" s="17">
        <v>0</v>
      </c>
      <c r="C419" s="17">
        <v>1.84</v>
      </c>
      <c r="D419" s="17">
        <v>0.64</v>
      </c>
      <c r="E419" s="17">
        <v>0</v>
      </c>
      <c r="F419" s="17">
        <v>0.77</v>
      </c>
      <c r="G419" s="22">
        <f t="shared" si="6"/>
        <v>3.25</v>
      </c>
      <c r="H419" s="11" t="s">
        <v>81</v>
      </c>
      <c r="I419" s="24" t="str">
        <f>IFERROR(VLOOKUP($H419,'[1]Actual &amp; PO  Analysis 2020'!$A$4:$BJ$300,62,0),"")</f>
        <v>0</v>
      </c>
      <c r="J419" s="24">
        <f>IFERROR(VLOOKUP($H419,'[1]Actual &amp; PO  Analysis 2020'!$A$4:$BP$300,68,0),"")</f>
        <v>2.3773333333333331</v>
      </c>
      <c r="K419" s="24">
        <f>IFERROR(VLOOKUP($H419,'[1]Actual &amp; PO  Analysis 2020'!$A$4:$BV$300,74,0),"")</f>
        <v>8.1325000000000003</v>
      </c>
      <c r="L419" s="24">
        <f>IFERROR(VLOOKUP($H419,'[1]Actual &amp; PO  Analysis 2020'!$A$4:$CB$300,80,0),"")</f>
        <v>0.17100000000000001</v>
      </c>
      <c r="M419" s="24">
        <f>IFERROR(VLOOKUP($H419,'[1]Actual &amp; PO  Analysis 2020'!$A$4:$CH$300,86,0),"")</f>
        <v>1.8383333333333336</v>
      </c>
      <c r="N419" s="25">
        <v>6.5375000000000005</v>
      </c>
    </row>
    <row r="420" spans="1:14" x14ac:dyDescent="0.25">
      <c r="A420" s="11" t="s">
        <v>381</v>
      </c>
      <c r="B420" s="17">
        <v>0</v>
      </c>
      <c r="C420" s="17">
        <v>8.3800000000000008</v>
      </c>
      <c r="D420" s="17">
        <v>4.42</v>
      </c>
      <c r="E420" s="17">
        <v>0.1</v>
      </c>
      <c r="F420" s="17">
        <v>1.04</v>
      </c>
      <c r="G420" s="22">
        <f t="shared" si="6"/>
        <v>13.940000000000001</v>
      </c>
      <c r="H420" s="11" t="s">
        <v>313</v>
      </c>
      <c r="I420" s="24" t="str">
        <f>IFERROR(VLOOKUP($H420,'[1]Actual &amp; PO  Analysis 2020'!$A$4:$BJ$300,62,0),"")</f>
        <v>0</v>
      </c>
      <c r="J420" s="24">
        <f>IFERROR(VLOOKUP($H420,'[1]Actual &amp; PO  Analysis 2020'!$A$4:$BP$300,68,0),"")</f>
        <v>8.7534999999999989</v>
      </c>
      <c r="K420" s="24">
        <f>IFERROR(VLOOKUP($H420,'[1]Actual &amp; PO  Analysis 2020'!$A$4:$BV$300,74,0),"")</f>
        <v>3.2439999999999998</v>
      </c>
      <c r="L420" s="24">
        <f>IFERROR(VLOOKUP($H420,'[1]Actual &amp; PO  Analysis 2020'!$A$4:$CB$300,80,0),"")</f>
        <v>0.18066666666666667</v>
      </c>
      <c r="M420" s="24">
        <f>IFERROR(VLOOKUP($H420,'[1]Actual &amp; PO  Analysis 2020'!$A$4:$CH$300,86,0),"")</f>
        <v>1.3546666666666667</v>
      </c>
      <c r="N420" s="25">
        <v>10.1815</v>
      </c>
    </row>
    <row r="421" spans="1:14" x14ac:dyDescent="0.25">
      <c r="A421" s="11" t="s">
        <v>407</v>
      </c>
      <c r="B421" s="17">
        <v>0</v>
      </c>
      <c r="C421" s="17">
        <v>3.2</v>
      </c>
      <c r="D421" s="17">
        <v>5.0599999999999996</v>
      </c>
      <c r="E421" s="17">
        <v>0.1</v>
      </c>
      <c r="F421" s="17">
        <v>1.2</v>
      </c>
      <c r="G421" s="22">
        <f t="shared" si="6"/>
        <v>9.5599999999999987</v>
      </c>
      <c r="H421" s="11" t="s">
        <v>437</v>
      </c>
      <c r="I421" s="24" t="str">
        <f>IFERROR(VLOOKUP($H421,'[1]Actual &amp; PO  Analysis 2020'!$A$4:$BJ$300,62,0),"")</f>
        <v>0</v>
      </c>
      <c r="J421" s="24">
        <f>IFERROR(VLOOKUP($H421,'[1]Actual &amp; PO  Analysis 2020'!$A$4:$BP$300,68,0),"")</f>
        <v>1.2477999999999998</v>
      </c>
      <c r="K421" s="24">
        <f>IFERROR(VLOOKUP($H421,'[1]Actual &amp; PO  Analysis 2020'!$A$4:$BV$300,74,0),"")</f>
        <v>2.2329999999999997</v>
      </c>
      <c r="L421" s="24">
        <f>IFERROR(VLOOKUP($H421,'[1]Actual &amp; PO  Analysis 2020'!$A$4:$CB$300,80,0),"")</f>
        <v>0.17879999999999999</v>
      </c>
      <c r="M421" s="24">
        <f>IFERROR(VLOOKUP($H421,'[1]Actual &amp; PO  Analysis 2020'!$A$4:$CH$300,86,0),"")</f>
        <v>1.3958333333333333</v>
      </c>
      <c r="N421" s="25">
        <v>7.6105</v>
      </c>
    </row>
    <row r="422" spans="1:14" x14ac:dyDescent="0.25">
      <c r="A422" s="11" t="s">
        <v>388</v>
      </c>
      <c r="B422" s="17">
        <v>0</v>
      </c>
      <c r="C422" s="17">
        <v>3.24</v>
      </c>
      <c r="D422" s="17">
        <v>5.0599999999999996</v>
      </c>
      <c r="E422" s="17">
        <v>0.1</v>
      </c>
      <c r="F422" s="17">
        <v>1.2</v>
      </c>
      <c r="G422" s="22">
        <f t="shared" si="6"/>
        <v>9.6</v>
      </c>
      <c r="H422" s="11" t="s">
        <v>449</v>
      </c>
      <c r="I422" s="24" t="str">
        <f>IFERROR(VLOOKUP($H422,'[1]Actual &amp; PO  Analysis 2020'!$A$4:$BJ$300,62,0),"")</f>
        <v>0</v>
      </c>
      <c r="J422" s="24">
        <f>IFERROR(VLOOKUP($H422,'[1]Actual &amp; PO  Analysis 2020'!$A$4:$BP$300,68,0),"")</f>
        <v>1.2959999999999998</v>
      </c>
      <c r="K422" s="24">
        <f>IFERROR(VLOOKUP($H422,'[1]Actual &amp; PO  Analysis 2020'!$A$4:$BV$300,74,0),"")</f>
        <v>2.8003333333333331</v>
      </c>
      <c r="L422" s="24">
        <f>IFERROR(VLOOKUP($H422,'[1]Actual &amp; PO  Analysis 2020'!$A$4:$CB$300,80,0),"")</f>
        <v>0.17200000000000001</v>
      </c>
      <c r="M422" s="24">
        <f>IFERROR(VLOOKUP($H422,'[1]Actual &amp; PO  Analysis 2020'!$A$4:$CH$300,86,0),"")</f>
        <v>1.1060000000000001</v>
      </c>
      <c r="N422" s="25">
        <v>10.509833333333333</v>
      </c>
    </row>
    <row r="423" spans="1:14" x14ac:dyDescent="0.25">
      <c r="A423" s="11" t="s">
        <v>408</v>
      </c>
      <c r="B423" s="17">
        <v>0</v>
      </c>
      <c r="C423" s="17">
        <v>3.4279999999999999</v>
      </c>
      <c r="D423" s="17">
        <v>5.0599999999999996</v>
      </c>
      <c r="E423" s="17">
        <v>0.1</v>
      </c>
      <c r="F423" s="17">
        <v>1.2</v>
      </c>
      <c r="G423" s="22">
        <f t="shared" si="6"/>
        <v>9.7879999999999985</v>
      </c>
      <c r="H423" s="11" t="s">
        <v>10</v>
      </c>
      <c r="I423" s="24" t="str">
        <f>IFERROR(VLOOKUP($H423,'[1]Actual &amp; PO  Analysis 2020'!$A$4:$BJ$300,62,0),"")</f>
        <v/>
      </c>
      <c r="J423" s="24" t="str">
        <f>IFERROR(VLOOKUP($H423,'[1]Actual &amp; PO  Analysis 2020'!$A$4:$BP$300,68,0),"")</f>
        <v/>
      </c>
      <c r="K423" s="24" t="str">
        <f>IFERROR(VLOOKUP($H423,'[1]Actual &amp; PO  Analysis 2020'!$A$4:$BV$300,74,0),"")</f>
        <v/>
      </c>
      <c r="L423" s="24" t="str">
        <f>IFERROR(VLOOKUP($H423,'[1]Actual &amp; PO  Analysis 2020'!$A$4:$CB$300,80,0),"")</f>
        <v/>
      </c>
      <c r="M423" s="24" t="str">
        <f>IFERROR(VLOOKUP($H423,'[1]Actual &amp; PO  Analysis 2020'!$A$4:$CH$300,86,0),"")</f>
        <v/>
      </c>
      <c r="N423" s="25">
        <v>0</v>
      </c>
    </row>
    <row r="424" spans="1:14" x14ac:dyDescent="0.25">
      <c r="A424" s="11" t="s">
        <v>389</v>
      </c>
      <c r="B424" s="17">
        <v>0</v>
      </c>
      <c r="C424" s="17">
        <v>3.58</v>
      </c>
      <c r="D424" s="17">
        <v>5.0599999999999996</v>
      </c>
      <c r="E424" s="17">
        <v>0.1</v>
      </c>
      <c r="F424" s="17">
        <v>1.2</v>
      </c>
      <c r="G424" s="22">
        <f t="shared" si="6"/>
        <v>9.94</v>
      </c>
      <c r="H424" s="11" t="s">
        <v>381</v>
      </c>
      <c r="I424" s="24" t="str">
        <f>IFERROR(VLOOKUP($H424,'[1]Actual &amp; PO  Analysis 2020'!$A$4:$BJ$300,62,0),"")</f>
        <v/>
      </c>
      <c r="J424" s="24" t="str">
        <f>IFERROR(VLOOKUP($H424,'[1]Actual &amp; PO  Analysis 2020'!$A$4:$BP$300,68,0),"")</f>
        <v/>
      </c>
      <c r="K424" s="24" t="str">
        <f>IFERROR(VLOOKUP($H424,'[1]Actual &amp; PO  Analysis 2020'!$A$4:$BV$300,74,0),"")</f>
        <v/>
      </c>
      <c r="L424" s="24" t="str">
        <f>IFERROR(VLOOKUP($H424,'[1]Actual &amp; PO  Analysis 2020'!$A$4:$CB$300,80,0),"")</f>
        <v/>
      </c>
      <c r="M424" s="24" t="str">
        <f>IFERROR(VLOOKUP($H424,'[1]Actual &amp; PO  Analysis 2020'!$A$4:$CH$300,86,0),"")</f>
        <v/>
      </c>
      <c r="N424" s="25">
        <v>0</v>
      </c>
    </row>
    <row r="425" spans="1:14" x14ac:dyDescent="0.25">
      <c r="A425" s="11" t="s">
        <v>12</v>
      </c>
      <c r="B425" s="17">
        <v>0</v>
      </c>
      <c r="C425" s="17">
        <v>1.99</v>
      </c>
      <c r="D425" s="17">
        <v>4.8</v>
      </c>
      <c r="E425" s="17">
        <v>0.1</v>
      </c>
      <c r="F425" s="17">
        <v>0.91</v>
      </c>
      <c r="G425" s="22">
        <f t="shared" si="6"/>
        <v>7.8</v>
      </c>
      <c r="H425" s="11" t="s">
        <v>407</v>
      </c>
      <c r="I425" s="24" t="str">
        <f>IFERROR(VLOOKUP($H425,'[1]Actual &amp; PO  Analysis 2020'!$A$4:$BJ$300,62,0),"")</f>
        <v/>
      </c>
      <c r="J425" s="24" t="str">
        <f>IFERROR(VLOOKUP($H425,'[1]Actual &amp; PO  Analysis 2020'!$A$4:$BP$300,68,0),"")</f>
        <v/>
      </c>
      <c r="K425" s="24" t="str">
        <f>IFERROR(VLOOKUP($H425,'[1]Actual &amp; PO  Analysis 2020'!$A$4:$BV$300,74,0),"")</f>
        <v/>
      </c>
      <c r="L425" s="24" t="str">
        <f>IFERROR(VLOOKUP($H425,'[1]Actual &amp; PO  Analysis 2020'!$A$4:$CB$300,80,0),"")</f>
        <v/>
      </c>
      <c r="M425" s="24" t="str">
        <f>IFERROR(VLOOKUP($H425,'[1]Actual &amp; PO  Analysis 2020'!$A$4:$CH$300,86,0),"")</f>
        <v/>
      </c>
      <c r="N425" s="25">
        <v>0</v>
      </c>
    </row>
    <row r="426" spans="1:14" x14ac:dyDescent="0.25">
      <c r="A426" s="11" t="s">
        <v>238</v>
      </c>
      <c r="B426" s="17">
        <v>0</v>
      </c>
      <c r="C426" s="17">
        <v>4.5</v>
      </c>
      <c r="D426" s="17">
        <v>4.7</v>
      </c>
      <c r="E426" s="17">
        <v>0.1</v>
      </c>
      <c r="F426" s="17">
        <v>0.62</v>
      </c>
      <c r="G426" s="22">
        <f t="shared" si="6"/>
        <v>9.9199999999999982</v>
      </c>
      <c r="H426" s="11" t="s">
        <v>388</v>
      </c>
      <c r="I426" s="24" t="str">
        <f>IFERROR(VLOOKUP($H426,'[1]Actual &amp; PO  Analysis 2020'!$A$4:$BJ$300,62,0),"")</f>
        <v/>
      </c>
      <c r="J426" s="24" t="str">
        <f>IFERROR(VLOOKUP($H426,'[1]Actual &amp; PO  Analysis 2020'!$A$4:$BP$300,68,0),"")</f>
        <v/>
      </c>
      <c r="K426" s="24" t="str">
        <f>IFERROR(VLOOKUP($H426,'[1]Actual &amp; PO  Analysis 2020'!$A$4:$BV$300,74,0),"")</f>
        <v/>
      </c>
      <c r="L426" s="24" t="str">
        <f>IFERROR(VLOOKUP($H426,'[1]Actual &amp; PO  Analysis 2020'!$A$4:$CB$300,80,0),"")</f>
        <v/>
      </c>
      <c r="M426" s="24" t="str">
        <f>IFERROR(VLOOKUP($H426,'[1]Actual &amp; PO  Analysis 2020'!$A$4:$CH$300,86,0),"")</f>
        <v/>
      </c>
      <c r="N426" s="25">
        <v>0</v>
      </c>
    </row>
    <row r="427" spans="1:14" x14ac:dyDescent="0.25">
      <c r="A427" s="11" t="s">
        <v>438</v>
      </c>
      <c r="B427" s="17">
        <v>0</v>
      </c>
      <c r="C427" s="17">
        <v>2.81</v>
      </c>
      <c r="D427" s="17">
        <v>4.6999999999999993</v>
      </c>
      <c r="E427" s="17">
        <v>0</v>
      </c>
      <c r="F427" s="17">
        <v>1.93</v>
      </c>
      <c r="G427" s="22">
        <f t="shared" si="6"/>
        <v>9.44</v>
      </c>
      <c r="H427" s="11" t="s">
        <v>408</v>
      </c>
      <c r="I427" s="24" t="str">
        <f>IFERROR(VLOOKUP($H427,'[1]Actual &amp; PO  Analysis 2020'!$A$4:$BJ$300,62,0),"")</f>
        <v/>
      </c>
      <c r="J427" s="24" t="str">
        <f>IFERROR(VLOOKUP($H427,'[1]Actual &amp; PO  Analysis 2020'!$A$4:$BP$300,68,0),"")</f>
        <v/>
      </c>
      <c r="K427" s="24" t="str">
        <f>IFERROR(VLOOKUP($H427,'[1]Actual &amp; PO  Analysis 2020'!$A$4:$BV$300,74,0),"")</f>
        <v/>
      </c>
      <c r="L427" s="24" t="str">
        <f>IFERROR(VLOOKUP($H427,'[1]Actual &amp; PO  Analysis 2020'!$A$4:$CB$300,80,0),"")</f>
        <v/>
      </c>
      <c r="M427" s="24" t="str">
        <f>IFERROR(VLOOKUP($H427,'[1]Actual &amp; PO  Analysis 2020'!$A$4:$CH$300,86,0),"")</f>
        <v/>
      </c>
      <c r="N427" s="25">
        <v>0</v>
      </c>
    </row>
    <row r="428" spans="1:14" x14ac:dyDescent="0.25">
      <c r="A428" s="11" t="s">
        <v>198</v>
      </c>
      <c r="B428" s="17">
        <v>0</v>
      </c>
      <c r="C428" s="17">
        <v>3.9750000000000001</v>
      </c>
      <c r="D428" s="17">
        <v>4.7750000000000004</v>
      </c>
      <c r="E428" s="17">
        <v>0.125</v>
      </c>
      <c r="F428" s="17">
        <v>1.125</v>
      </c>
      <c r="G428" s="22">
        <f t="shared" si="6"/>
        <v>10</v>
      </c>
      <c r="H428" s="11" t="s">
        <v>389</v>
      </c>
      <c r="I428" s="24">
        <f>IFERROR(VLOOKUP($H428,'[1]Actual &amp; PO  Analysis 2020'!$A$4:$BJ$300,62,0),"")</f>
        <v>1.8180000000000001</v>
      </c>
      <c r="J428" s="24">
        <f>IFERROR(VLOOKUP($H428,'[1]Actual &amp; PO  Analysis 2020'!$A$4:$BP$300,68,0),"")</f>
        <v>2.0609999999999999</v>
      </c>
      <c r="K428" s="24">
        <f>IFERROR(VLOOKUP($H428,'[1]Actual &amp; PO  Analysis 2020'!$A$4:$BV$300,74,0),"")</f>
        <v>3.1880000000000002</v>
      </c>
      <c r="L428" s="24">
        <f>IFERROR(VLOOKUP($H428,'[1]Actual &amp; PO  Analysis 2020'!$A$4:$CB$300,80,0),"")</f>
        <v>0.17199999999999999</v>
      </c>
      <c r="M428" s="24">
        <f>IFERROR(VLOOKUP($H428,'[1]Actual &amp; PO  Analysis 2020'!$A$4:$CH$300,86,0),"")</f>
        <v>1.9079999999999999</v>
      </c>
      <c r="N428" s="25">
        <v>5.6627000000000001</v>
      </c>
    </row>
    <row r="429" spans="1:14" x14ac:dyDescent="0.25">
      <c r="A429" s="11" t="s">
        <v>242</v>
      </c>
      <c r="B429" s="17">
        <v>0</v>
      </c>
      <c r="C429" s="17">
        <v>0</v>
      </c>
      <c r="D429" s="17">
        <v>0</v>
      </c>
      <c r="E429" s="17">
        <v>0</v>
      </c>
      <c r="F429" s="17">
        <v>0</v>
      </c>
      <c r="G429" s="22">
        <f t="shared" si="6"/>
        <v>0</v>
      </c>
      <c r="H429" s="11" t="s">
        <v>12</v>
      </c>
      <c r="I429" s="24" t="str">
        <f>IFERROR(VLOOKUP($H429,'[1]Actual &amp; PO  Analysis 2020'!$A$4:$BJ$300,62,0),"")</f>
        <v/>
      </c>
      <c r="J429" s="24" t="str">
        <f>IFERROR(VLOOKUP($H429,'[1]Actual &amp; PO  Analysis 2020'!$A$4:$BP$300,68,0),"")</f>
        <v/>
      </c>
      <c r="K429" s="24" t="str">
        <f>IFERROR(VLOOKUP($H429,'[1]Actual &amp; PO  Analysis 2020'!$A$4:$BV$300,74,0),"")</f>
        <v/>
      </c>
      <c r="L429" s="24" t="str">
        <f>IFERROR(VLOOKUP($H429,'[1]Actual &amp; PO  Analysis 2020'!$A$4:$CB$300,80,0),"")</f>
        <v/>
      </c>
      <c r="M429" s="24" t="str">
        <f>IFERROR(VLOOKUP($H429,'[1]Actual &amp; PO  Analysis 2020'!$A$4:$CH$300,86,0),"")</f>
        <v/>
      </c>
      <c r="N429" s="25">
        <v>0</v>
      </c>
    </row>
    <row r="430" spans="1:14" x14ac:dyDescent="0.25">
      <c r="A430" s="11" t="s">
        <v>304</v>
      </c>
      <c r="B430" s="17">
        <v>0</v>
      </c>
      <c r="C430" s="17">
        <v>2.7</v>
      </c>
      <c r="D430" s="17">
        <v>2.5700000000000003</v>
      </c>
      <c r="E430" s="17">
        <v>0.1</v>
      </c>
      <c r="F430" s="17">
        <v>0.99</v>
      </c>
      <c r="G430" s="22">
        <f t="shared" si="6"/>
        <v>6.36</v>
      </c>
      <c r="H430" s="11" t="s">
        <v>238</v>
      </c>
      <c r="I430" s="24" t="str">
        <f>IFERROR(VLOOKUP($H430,'[1]Actual &amp; PO  Analysis 2020'!$A$4:$BJ$300,62,0),"")</f>
        <v/>
      </c>
      <c r="J430" s="24" t="str">
        <f>IFERROR(VLOOKUP($H430,'[1]Actual &amp; PO  Analysis 2020'!$A$4:$BP$300,68,0),"")</f>
        <v/>
      </c>
      <c r="K430" s="24" t="str">
        <f>IFERROR(VLOOKUP($H430,'[1]Actual &amp; PO  Analysis 2020'!$A$4:$BV$300,74,0),"")</f>
        <v/>
      </c>
      <c r="L430" s="24" t="str">
        <f>IFERROR(VLOOKUP($H430,'[1]Actual &amp; PO  Analysis 2020'!$A$4:$CB$300,80,0),"")</f>
        <v/>
      </c>
      <c r="M430" s="24" t="str">
        <f>IFERROR(VLOOKUP($H430,'[1]Actual &amp; PO  Analysis 2020'!$A$4:$CH$300,86,0),"")</f>
        <v/>
      </c>
      <c r="N430" s="25">
        <v>0</v>
      </c>
    </row>
    <row r="431" spans="1:14" x14ac:dyDescent="0.25">
      <c r="A431" s="11" t="s">
        <v>236</v>
      </c>
      <c r="B431" s="17">
        <v>0</v>
      </c>
      <c r="C431" s="17">
        <v>2.7</v>
      </c>
      <c r="D431" s="17">
        <v>2.5700000000000003</v>
      </c>
      <c r="E431" s="17">
        <v>0.1</v>
      </c>
      <c r="F431" s="17">
        <v>0.99</v>
      </c>
      <c r="G431" s="22">
        <f t="shared" si="6"/>
        <v>6.36</v>
      </c>
      <c r="H431" s="11" t="s">
        <v>438</v>
      </c>
      <c r="I431" s="24" t="str">
        <f>IFERROR(VLOOKUP($H431,'[1]Actual &amp; PO  Analysis 2020'!$A$4:$BJ$300,62,0),"")</f>
        <v/>
      </c>
      <c r="J431" s="24" t="str">
        <f>IFERROR(VLOOKUP($H431,'[1]Actual &amp; PO  Analysis 2020'!$A$4:$BP$300,68,0),"")</f>
        <v/>
      </c>
      <c r="K431" s="24" t="str">
        <f>IFERROR(VLOOKUP($H431,'[1]Actual &amp; PO  Analysis 2020'!$A$4:$BV$300,74,0),"")</f>
        <v/>
      </c>
      <c r="L431" s="24" t="str">
        <f>IFERROR(VLOOKUP($H431,'[1]Actual &amp; PO  Analysis 2020'!$A$4:$CB$300,80,0),"")</f>
        <v/>
      </c>
      <c r="M431" s="24" t="str">
        <f>IFERROR(VLOOKUP($H431,'[1]Actual &amp; PO  Analysis 2020'!$A$4:$CH$300,86,0),"")</f>
        <v/>
      </c>
      <c r="N431" s="25">
        <v>0</v>
      </c>
    </row>
    <row r="432" spans="1:14" x14ac:dyDescent="0.25">
      <c r="A432" s="11" t="s">
        <v>239</v>
      </c>
      <c r="B432" s="17">
        <v>0</v>
      </c>
      <c r="C432" s="17">
        <v>2</v>
      </c>
      <c r="D432" s="17">
        <v>2.42</v>
      </c>
      <c r="E432" s="17">
        <v>0.1</v>
      </c>
      <c r="F432" s="17">
        <v>0.85</v>
      </c>
      <c r="G432" s="22">
        <f t="shared" si="6"/>
        <v>5.3699999999999992</v>
      </c>
      <c r="H432" s="11" t="s">
        <v>198</v>
      </c>
      <c r="I432" s="24" t="str">
        <f>IFERROR(VLOOKUP($H432,'[1]Actual &amp; PO  Analysis 2020'!$A$4:$BJ$300,62,0),"")</f>
        <v/>
      </c>
      <c r="J432" s="24" t="str">
        <f>IFERROR(VLOOKUP($H432,'[1]Actual &amp; PO  Analysis 2020'!$A$4:$BP$300,68,0),"")</f>
        <v/>
      </c>
      <c r="K432" s="24" t="str">
        <f>IFERROR(VLOOKUP($H432,'[1]Actual &amp; PO  Analysis 2020'!$A$4:$BV$300,74,0),"")</f>
        <v/>
      </c>
      <c r="L432" s="24" t="str">
        <f>IFERROR(VLOOKUP($H432,'[1]Actual &amp; PO  Analysis 2020'!$A$4:$CB$300,80,0),"")</f>
        <v/>
      </c>
      <c r="M432" s="24" t="str">
        <f>IFERROR(VLOOKUP($H432,'[1]Actual &amp; PO  Analysis 2020'!$A$4:$CH$300,86,0),"")</f>
        <v/>
      </c>
      <c r="N432" s="25">
        <v>0</v>
      </c>
    </row>
    <row r="433" spans="1:14" x14ac:dyDescent="0.25">
      <c r="A433" s="11" t="s">
        <v>243</v>
      </c>
      <c r="B433" s="17">
        <v>0</v>
      </c>
      <c r="C433" s="17">
        <v>1.54</v>
      </c>
      <c r="D433" s="17">
        <v>2.34</v>
      </c>
      <c r="E433" s="17">
        <v>0.1</v>
      </c>
      <c r="F433" s="17">
        <v>0.99</v>
      </c>
      <c r="G433" s="22">
        <f t="shared" si="6"/>
        <v>4.97</v>
      </c>
      <c r="H433" s="11" t="s">
        <v>242</v>
      </c>
      <c r="I433" s="24" t="str">
        <f>IFERROR(VLOOKUP($H433,'[1]Actual &amp; PO  Analysis 2020'!$A$4:$BJ$300,62,0),"")</f>
        <v/>
      </c>
      <c r="J433" s="24" t="str">
        <f>IFERROR(VLOOKUP($H433,'[1]Actual &amp; PO  Analysis 2020'!$A$4:$BP$300,68,0),"")</f>
        <v/>
      </c>
      <c r="K433" s="24" t="str">
        <f>IFERROR(VLOOKUP($H433,'[1]Actual &amp; PO  Analysis 2020'!$A$4:$BV$300,74,0),"")</f>
        <v/>
      </c>
      <c r="L433" s="24" t="str">
        <f>IFERROR(VLOOKUP($H433,'[1]Actual &amp; PO  Analysis 2020'!$A$4:$CB$300,80,0),"")</f>
        <v/>
      </c>
      <c r="M433" s="24" t="str">
        <f>IFERROR(VLOOKUP($H433,'[1]Actual &amp; PO  Analysis 2020'!$A$4:$CH$300,86,0),"")</f>
        <v/>
      </c>
      <c r="N433" s="25">
        <v>0</v>
      </c>
    </row>
    <row r="434" spans="1:14" x14ac:dyDescent="0.25">
      <c r="A434" s="11" t="s">
        <v>410</v>
      </c>
      <c r="B434" s="17">
        <v>0</v>
      </c>
      <c r="C434" s="17">
        <v>1.19</v>
      </c>
      <c r="D434" s="17">
        <v>2.4</v>
      </c>
      <c r="E434" s="17">
        <v>0.1</v>
      </c>
      <c r="F434" s="17">
        <v>0.56000000000000005</v>
      </c>
      <c r="G434" s="22">
        <f t="shared" si="6"/>
        <v>4.25</v>
      </c>
      <c r="H434" s="11" t="s">
        <v>304</v>
      </c>
      <c r="I434" s="24" t="str">
        <f>IFERROR(VLOOKUP($H434,'[1]Actual &amp; PO  Analysis 2020'!$A$4:$BJ$300,62,0),"")</f>
        <v/>
      </c>
      <c r="J434" s="24" t="str">
        <f>IFERROR(VLOOKUP($H434,'[1]Actual &amp; PO  Analysis 2020'!$A$4:$BP$300,68,0),"")</f>
        <v/>
      </c>
      <c r="K434" s="24" t="str">
        <f>IFERROR(VLOOKUP($H434,'[1]Actual &amp; PO  Analysis 2020'!$A$4:$BV$300,74,0),"")</f>
        <v/>
      </c>
      <c r="L434" s="24" t="str">
        <f>IFERROR(VLOOKUP($H434,'[1]Actual &amp; PO  Analysis 2020'!$A$4:$CB$300,80,0),"")</f>
        <v/>
      </c>
      <c r="M434" s="24" t="str">
        <f>IFERROR(VLOOKUP($H434,'[1]Actual &amp; PO  Analysis 2020'!$A$4:$CH$300,86,0),"")</f>
        <v/>
      </c>
      <c r="N434" s="25">
        <v>0</v>
      </c>
    </row>
    <row r="435" spans="1:14" x14ac:dyDescent="0.25">
      <c r="A435" s="11" t="s">
        <v>386</v>
      </c>
      <c r="B435" s="17">
        <v>0</v>
      </c>
      <c r="C435" s="17">
        <v>3.2</v>
      </c>
      <c r="D435" s="17">
        <v>3.0199999999999996</v>
      </c>
      <c r="E435" s="17">
        <v>0.1</v>
      </c>
      <c r="F435" s="17">
        <v>1.83</v>
      </c>
      <c r="G435" s="22">
        <f t="shared" si="6"/>
        <v>8.1499999999999986</v>
      </c>
      <c r="H435" s="11" t="s">
        <v>236</v>
      </c>
      <c r="I435" s="24" t="str">
        <f>IFERROR(VLOOKUP($H435,'[1]Actual &amp; PO  Analysis 2020'!$A$4:$BJ$300,62,0),"")</f>
        <v/>
      </c>
      <c r="J435" s="24" t="str">
        <f>IFERROR(VLOOKUP($H435,'[1]Actual &amp; PO  Analysis 2020'!$A$4:$BP$300,68,0),"")</f>
        <v/>
      </c>
      <c r="K435" s="24" t="str">
        <f>IFERROR(VLOOKUP($H435,'[1]Actual &amp; PO  Analysis 2020'!$A$4:$BV$300,74,0),"")</f>
        <v/>
      </c>
      <c r="L435" s="24" t="str">
        <f>IFERROR(VLOOKUP($H435,'[1]Actual &amp; PO  Analysis 2020'!$A$4:$CB$300,80,0),"")</f>
        <v/>
      </c>
      <c r="M435" s="24" t="str">
        <f>IFERROR(VLOOKUP($H435,'[1]Actual &amp; PO  Analysis 2020'!$A$4:$CH$300,86,0),"")</f>
        <v/>
      </c>
      <c r="N435" s="25">
        <v>0</v>
      </c>
    </row>
    <row r="436" spans="1:14" x14ac:dyDescent="0.25">
      <c r="A436" s="11" t="s">
        <v>33</v>
      </c>
      <c r="B436" s="17">
        <v>0</v>
      </c>
      <c r="C436" s="17">
        <v>1.59</v>
      </c>
      <c r="D436" s="17">
        <v>3.8</v>
      </c>
      <c r="E436" s="17">
        <v>0.1</v>
      </c>
      <c r="F436" s="17">
        <v>1.77</v>
      </c>
      <c r="G436" s="22">
        <f t="shared" si="6"/>
        <v>7.26</v>
      </c>
      <c r="H436" s="11" t="s">
        <v>239</v>
      </c>
      <c r="I436" s="24" t="str">
        <f>IFERROR(VLOOKUP($H436,'[1]Actual &amp; PO  Analysis 2020'!$A$4:$BJ$300,62,0),"")</f>
        <v/>
      </c>
      <c r="J436" s="24" t="str">
        <f>IFERROR(VLOOKUP($H436,'[1]Actual &amp; PO  Analysis 2020'!$A$4:$BP$300,68,0),"")</f>
        <v/>
      </c>
      <c r="K436" s="24" t="str">
        <f>IFERROR(VLOOKUP($H436,'[1]Actual &amp; PO  Analysis 2020'!$A$4:$BV$300,74,0),"")</f>
        <v/>
      </c>
      <c r="L436" s="24" t="str">
        <f>IFERROR(VLOOKUP($H436,'[1]Actual &amp; PO  Analysis 2020'!$A$4:$CB$300,80,0),"")</f>
        <v/>
      </c>
      <c r="M436" s="24" t="str">
        <f>IFERROR(VLOOKUP($H436,'[1]Actual &amp; PO  Analysis 2020'!$A$4:$CH$300,86,0),"")</f>
        <v/>
      </c>
      <c r="N436" s="25">
        <v>0</v>
      </c>
    </row>
    <row r="437" spans="1:14" x14ac:dyDescent="0.25">
      <c r="A437" s="11" t="s">
        <v>83</v>
      </c>
      <c r="B437" s="17">
        <v>0</v>
      </c>
      <c r="C437" s="17">
        <v>2.04</v>
      </c>
      <c r="D437" s="17">
        <v>4.7200000000000006</v>
      </c>
      <c r="E437" s="17">
        <v>0.1</v>
      </c>
      <c r="F437" s="17">
        <v>1.08</v>
      </c>
      <c r="G437" s="22">
        <f t="shared" si="6"/>
        <v>7.94</v>
      </c>
      <c r="H437" s="11" t="s">
        <v>243</v>
      </c>
      <c r="I437" s="24" t="str">
        <f>IFERROR(VLOOKUP($H437,'[1]Actual &amp; PO  Analysis 2020'!$A$4:$BJ$300,62,0),"")</f>
        <v/>
      </c>
      <c r="J437" s="24" t="str">
        <f>IFERROR(VLOOKUP($H437,'[1]Actual &amp; PO  Analysis 2020'!$A$4:$BP$300,68,0),"")</f>
        <v/>
      </c>
      <c r="K437" s="24" t="str">
        <f>IFERROR(VLOOKUP($H437,'[1]Actual &amp; PO  Analysis 2020'!$A$4:$BV$300,74,0),"")</f>
        <v/>
      </c>
      <c r="L437" s="24" t="str">
        <f>IFERROR(VLOOKUP($H437,'[1]Actual &amp; PO  Analysis 2020'!$A$4:$CB$300,80,0),"")</f>
        <v/>
      </c>
      <c r="M437" s="24" t="str">
        <f>IFERROR(VLOOKUP($H437,'[1]Actual &amp; PO  Analysis 2020'!$A$4:$CH$300,86,0),"")</f>
        <v/>
      </c>
      <c r="N437" s="25">
        <v>0</v>
      </c>
    </row>
    <row r="438" spans="1:14" x14ac:dyDescent="0.25">
      <c r="A438" s="11" t="s">
        <v>88</v>
      </c>
      <c r="B438" s="17">
        <v>0</v>
      </c>
      <c r="C438" s="17">
        <v>1.93</v>
      </c>
      <c r="D438" s="17">
        <v>2.59</v>
      </c>
      <c r="E438" s="17">
        <v>0.1</v>
      </c>
      <c r="F438" s="17">
        <v>1.97</v>
      </c>
      <c r="G438" s="22">
        <f t="shared" si="6"/>
        <v>6.589999999999999</v>
      </c>
      <c r="H438" s="11" t="s">
        <v>410</v>
      </c>
      <c r="I438" s="24" t="str">
        <f>IFERROR(VLOOKUP($H438,'[1]Actual &amp; PO  Analysis 2020'!$A$4:$BJ$300,62,0),"")</f>
        <v/>
      </c>
      <c r="J438" s="24" t="str">
        <f>IFERROR(VLOOKUP($H438,'[1]Actual &amp; PO  Analysis 2020'!$A$4:$BP$300,68,0),"")</f>
        <v/>
      </c>
      <c r="K438" s="24" t="str">
        <f>IFERROR(VLOOKUP($H438,'[1]Actual &amp; PO  Analysis 2020'!$A$4:$BV$300,74,0),"")</f>
        <v/>
      </c>
      <c r="L438" s="24" t="str">
        <f>IFERROR(VLOOKUP($H438,'[1]Actual &amp; PO  Analysis 2020'!$A$4:$CB$300,80,0),"")</f>
        <v/>
      </c>
      <c r="M438" s="24" t="str">
        <f>IFERROR(VLOOKUP($H438,'[1]Actual &amp; PO  Analysis 2020'!$A$4:$CH$300,86,0),"")</f>
        <v/>
      </c>
      <c r="N438" s="25">
        <v>0</v>
      </c>
    </row>
    <row r="439" spans="1:14" x14ac:dyDescent="0.25">
      <c r="A439" s="11" t="s">
        <v>87</v>
      </c>
      <c r="B439" s="17">
        <v>0</v>
      </c>
      <c r="C439" s="17">
        <v>1.93</v>
      </c>
      <c r="D439" s="17">
        <v>2.63</v>
      </c>
      <c r="E439" s="17">
        <v>0.1</v>
      </c>
      <c r="F439" s="17">
        <v>0.97</v>
      </c>
      <c r="G439" s="22">
        <f t="shared" si="6"/>
        <v>5.629999999999999</v>
      </c>
      <c r="H439" s="11" t="s">
        <v>386</v>
      </c>
      <c r="I439" s="24" t="str">
        <f>IFERROR(VLOOKUP($H439,'[1]Actual &amp; PO  Analysis 2020'!$A$4:$BJ$300,62,0),"")</f>
        <v/>
      </c>
      <c r="J439" s="24" t="str">
        <f>IFERROR(VLOOKUP($H439,'[1]Actual &amp; PO  Analysis 2020'!$A$4:$BP$300,68,0),"")</f>
        <v/>
      </c>
      <c r="K439" s="24" t="str">
        <f>IFERROR(VLOOKUP($H439,'[1]Actual &amp; PO  Analysis 2020'!$A$4:$BV$300,74,0),"")</f>
        <v/>
      </c>
      <c r="L439" s="24" t="str">
        <f>IFERROR(VLOOKUP($H439,'[1]Actual &amp; PO  Analysis 2020'!$A$4:$CB$300,80,0),"")</f>
        <v/>
      </c>
      <c r="M439" s="24" t="str">
        <f>IFERROR(VLOOKUP($H439,'[1]Actual &amp; PO  Analysis 2020'!$A$4:$CH$300,86,0),"")</f>
        <v/>
      </c>
      <c r="N439" s="25">
        <v>0</v>
      </c>
    </row>
    <row r="440" spans="1:14" x14ac:dyDescent="0.25">
      <c r="A440" s="11" t="s">
        <v>47</v>
      </c>
      <c r="B440" s="17">
        <v>0</v>
      </c>
      <c r="C440" s="17">
        <v>0.96</v>
      </c>
      <c r="D440" s="17">
        <v>3.34</v>
      </c>
      <c r="E440" s="17">
        <v>0.1</v>
      </c>
      <c r="F440" s="17">
        <v>1.827</v>
      </c>
      <c r="G440" s="22">
        <f t="shared" si="6"/>
        <v>6.2269999999999994</v>
      </c>
      <c r="H440" s="11" t="s">
        <v>33</v>
      </c>
      <c r="I440" s="24" t="str">
        <f>IFERROR(VLOOKUP($H440,'[1]Actual &amp; PO  Analysis 2020'!$A$4:$BJ$300,62,0),"")</f>
        <v>0</v>
      </c>
      <c r="J440" s="24">
        <f>IFERROR(VLOOKUP($H440,'[1]Actual &amp; PO  Analysis 2020'!$A$4:$BP$300,68,0),"")</f>
        <v>1.8454000000000002</v>
      </c>
      <c r="K440" s="24">
        <f>IFERROR(VLOOKUP($H440,'[1]Actual &amp; PO  Analysis 2020'!$A$4:$BV$300,74,0),"")</f>
        <v>7.3146000000000004</v>
      </c>
      <c r="L440" s="24">
        <f>IFERROR(VLOOKUP($H440,'[1]Actual &amp; PO  Analysis 2020'!$A$4:$CB$300,80,0),"")</f>
        <v>0.19650000000000001</v>
      </c>
      <c r="M440" s="24">
        <f>IFERROR(VLOOKUP($H440,'[1]Actual &amp; PO  Analysis 2020'!$A$4:$CH$300,86,0),"")</f>
        <v>2.0360000000000005</v>
      </c>
      <c r="N440" s="25">
        <v>10.147</v>
      </c>
    </row>
    <row r="441" spans="1:14" x14ac:dyDescent="0.25">
      <c r="A441" s="11" t="s">
        <v>34</v>
      </c>
      <c r="B441" s="17">
        <v>0</v>
      </c>
      <c r="C441" s="17">
        <v>0.72</v>
      </c>
      <c r="D441" s="17">
        <v>2.08</v>
      </c>
      <c r="E441" s="17">
        <v>0.09</v>
      </c>
      <c r="F441" s="17">
        <v>1.01</v>
      </c>
      <c r="G441" s="22">
        <f t="shared" si="6"/>
        <v>3.8999999999999995</v>
      </c>
      <c r="H441" s="11" t="s">
        <v>83</v>
      </c>
      <c r="I441" s="24" t="str">
        <f>IFERROR(VLOOKUP($H441,'[1]Actual &amp; PO  Analysis 2020'!$A$4:$BJ$300,62,0),"")</f>
        <v/>
      </c>
      <c r="J441" s="24" t="str">
        <f>IFERROR(VLOOKUP($H441,'[1]Actual &amp; PO  Analysis 2020'!$A$4:$BP$300,68,0),"")</f>
        <v/>
      </c>
      <c r="K441" s="24" t="str">
        <f>IFERROR(VLOOKUP($H441,'[1]Actual &amp; PO  Analysis 2020'!$A$4:$BV$300,74,0),"")</f>
        <v/>
      </c>
      <c r="L441" s="24" t="str">
        <f>IFERROR(VLOOKUP($H441,'[1]Actual &amp; PO  Analysis 2020'!$A$4:$CB$300,80,0),"")</f>
        <v/>
      </c>
      <c r="M441" s="24" t="str">
        <f>IFERROR(VLOOKUP($H441,'[1]Actual &amp; PO  Analysis 2020'!$A$4:$CH$300,86,0),"")</f>
        <v/>
      </c>
      <c r="N441" s="25">
        <v>0</v>
      </c>
    </row>
    <row r="442" spans="1:14" x14ac:dyDescent="0.25">
      <c r="A442" s="11" t="s">
        <v>376</v>
      </c>
      <c r="B442" s="17">
        <v>0</v>
      </c>
      <c r="C442" s="17">
        <v>2.09</v>
      </c>
      <c r="D442" s="17">
        <v>2.97</v>
      </c>
      <c r="E442" s="17">
        <v>0.1</v>
      </c>
      <c r="F442" s="17">
        <v>0.97</v>
      </c>
      <c r="G442" s="22">
        <f t="shared" si="6"/>
        <v>6.13</v>
      </c>
      <c r="H442" s="11" t="s">
        <v>88</v>
      </c>
      <c r="I442" s="24" t="str">
        <f>IFERROR(VLOOKUP($H442,'[1]Actual &amp; PO  Analysis 2020'!$A$4:$BJ$300,62,0),"")</f>
        <v>0</v>
      </c>
      <c r="J442" s="24">
        <f>IFERROR(VLOOKUP($H442,'[1]Actual &amp; PO  Analysis 2020'!$A$4:$BP$300,68,0),"")</f>
        <v>2.5760000000000001</v>
      </c>
      <c r="K442" s="24">
        <f>IFERROR(VLOOKUP($H442,'[1]Actual &amp; PO  Analysis 2020'!$A$4:$BV$300,74,0),"")</f>
        <v>4.2214999999999998</v>
      </c>
      <c r="L442" s="24">
        <f>IFERROR(VLOOKUP($H442,'[1]Actual &amp; PO  Analysis 2020'!$A$4:$CB$300,80,0),"")</f>
        <v>0.18149999999999999</v>
      </c>
      <c r="M442" s="24">
        <f>IFERROR(VLOOKUP($H442,'[1]Actual &amp; PO  Analysis 2020'!$A$4:$CH$300,86,0),"")</f>
        <v>2.1595</v>
      </c>
      <c r="N442" s="25">
        <v>9.6039999999999992</v>
      </c>
    </row>
    <row r="443" spans="1:14" x14ac:dyDescent="0.25">
      <c r="A443" s="11" t="s">
        <v>376</v>
      </c>
      <c r="B443" s="17">
        <v>0</v>
      </c>
      <c r="C443" s="17">
        <v>2.09</v>
      </c>
      <c r="D443" s="17">
        <v>2.97</v>
      </c>
      <c r="E443" s="17">
        <v>0.1</v>
      </c>
      <c r="F443" s="17">
        <v>0.97</v>
      </c>
      <c r="G443" s="22">
        <f t="shared" si="6"/>
        <v>6.13</v>
      </c>
      <c r="H443" s="11" t="s">
        <v>87</v>
      </c>
      <c r="I443" s="24" t="str">
        <f>IFERROR(VLOOKUP($H443,'[1]Actual &amp; PO  Analysis 2020'!$A$4:$BJ$300,62,0),"")</f>
        <v>0</v>
      </c>
      <c r="J443" s="24">
        <f>IFERROR(VLOOKUP($H443,'[1]Actual &amp; PO  Analysis 2020'!$A$4:$BP$300,68,0),"")</f>
        <v>2.3879999999999999</v>
      </c>
      <c r="K443" s="24">
        <f>IFERROR(VLOOKUP($H443,'[1]Actual &amp; PO  Analysis 2020'!$A$4:$BV$300,74,0),"")</f>
        <v>8.92</v>
      </c>
      <c r="L443" s="24">
        <f>IFERROR(VLOOKUP($H443,'[1]Actual &amp; PO  Analysis 2020'!$A$4:$CB$300,80,0),"")</f>
        <v>0.17599999999999999</v>
      </c>
      <c r="M443" s="24">
        <f>IFERROR(VLOOKUP($H443,'[1]Actual &amp; PO  Analysis 2020'!$A$4:$CH$300,86,0),"")</f>
        <v>1.9330000000000001</v>
      </c>
      <c r="N443" s="25">
        <v>0</v>
      </c>
    </row>
    <row r="444" spans="1:14" x14ac:dyDescent="0.25">
      <c r="A444" s="11" t="s">
        <v>80</v>
      </c>
      <c r="B444" s="17">
        <v>0</v>
      </c>
      <c r="C444" s="17">
        <v>1.81</v>
      </c>
      <c r="D444" s="17">
        <v>4.0999999999999996</v>
      </c>
      <c r="E444" s="17">
        <v>0.1</v>
      </c>
      <c r="F444" s="17">
        <v>1.08</v>
      </c>
      <c r="G444" s="22">
        <f t="shared" si="6"/>
        <v>7.09</v>
      </c>
      <c r="H444" s="11" t="s">
        <v>47</v>
      </c>
      <c r="I444" s="24" t="str">
        <f>IFERROR(VLOOKUP($H444,'[1]Actual &amp; PO  Analysis 2020'!$A$4:$BJ$300,62,0),"")</f>
        <v>0</v>
      </c>
      <c r="J444" s="24" t="str">
        <f>IFERROR(VLOOKUP($H444,'[1]Actual &amp; PO  Analysis 2020'!$A$4:$BP$300,68,0),"")</f>
        <v>0</v>
      </c>
      <c r="K444" s="24" t="str">
        <f>IFERROR(VLOOKUP($H444,'[1]Actual &amp; PO  Analysis 2020'!$A$4:$BV$300,74,0),"")</f>
        <v>0</v>
      </c>
      <c r="L444" s="24">
        <f>IFERROR(VLOOKUP($H444,'[1]Actual &amp; PO  Analysis 2020'!$A$4:$CB$300,80,0),"")</f>
        <v>0.14299999999999999</v>
      </c>
      <c r="M444" s="24">
        <f>IFERROR(VLOOKUP($H444,'[1]Actual &amp; PO  Analysis 2020'!$A$4:$CH$300,86,0),"")</f>
        <v>1.4910000000000001</v>
      </c>
      <c r="N444" s="25">
        <v>11.555333333333332</v>
      </c>
    </row>
    <row r="445" spans="1:14" x14ac:dyDescent="0.25">
      <c r="A445" s="11" t="s">
        <v>411</v>
      </c>
      <c r="B445" s="17">
        <v>0</v>
      </c>
      <c r="C445" s="17">
        <v>1.6</v>
      </c>
      <c r="D445" s="17">
        <v>2.86</v>
      </c>
      <c r="E445" s="17">
        <v>0.1</v>
      </c>
      <c r="F445" s="17">
        <v>1.0900000000000001</v>
      </c>
      <c r="G445" s="22">
        <f t="shared" si="6"/>
        <v>5.6499999999999995</v>
      </c>
      <c r="H445" s="11" t="s">
        <v>34</v>
      </c>
      <c r="I445" s="24" t="str">
        <f>IFERROR(VLOOKUP($H445,'[1]Actual &amp; PO  Analysis 2020'!$A$4:$BJ$300,62,0),"")</f>
        <v>0</v>
      </c>
      <c r="J445" s="24">
        <f>IFERROR(VLOOKUP($H445,'[1]Actual &amp; PO  Analysis 2020'!$A$4:$BP$300,68,0),"")</f>
        <v>3.1825000000000001</v>
      </c>
      <c r="K445" s="24">
        <f>IFERROR(VLOOKUP($H445,'[1]Actual &amp; PO  Analysis 2020'!$A$4:$BV$300,74,0),"")</f>
        <v>1.5109999999999999</v>
      </c>
      <c r="L445" s="24" t="str">
        <f>IFERROR(VLOOKUP($H445,'[1]Actual &amp; PO  Analysis 2020'!$A$4:$CB$300,80,0),"")</f>
        <v>0</v>
      </c>
      <c r="M445" s="24">
        <f>IFERROR(VLOOKUP($H445,'[1]Actual &amp; PO  Analysis 2020'!$A$4:$CH$300,86,0),"")</f>
        <v>2.89</v>
      </c>
      <c r="N445" s="25">
        <v>8.003166666666667</v>
      </c>
    </row>
    <row r="446" spans="1:14" x14ac:dyDescent="0.25">
      <c r="A446" s="11" t="s">
        <v>457</v>
      </c>
      <c r="B446" s="17">
        <v>0</v>
      </c>
      <c r="C446" s="17">
        <v>0</v>
      </c>
      <c r="D446" s="17">
        <v>0</v>
      </c>
      <c r="E446" s="17">
        <v>0</v>
      </c>
      <c r="F446" s="17">
        <v>0</v>
      </c>
      <c r="G446" s="22">
        <f t="shared" si="6"/>
        <v>0</v>
      </c>
      <c r="H446" s="11" t="s">
        <v>376</v>
      </c>
      <c r="I446" s="24" t="str">
        <f>IFERROR(VLOOKUP($H446,'[1]Actual &amp; PO  Analysis 2020'!$A$4:$BJ$300,62,0),"")</f>
        <v>0</v>
      </c>
      <c r="J446" s="24" t="str">
        <f>IFERROR(VLOOKUP($H446,'[1]Actual &amp; PO  Analysis 2020'!$A$4:$BP$300,68,0),"")</f>
        <v>0</v>
      </c>
      <c r="K446" s="24" t="str">
        <f>IFERROR(VLOOKUP($H446,'[1]Actual &amp; PO  Analysis 2020'!$A$4:$BV$300,74,0),"")</f>
        <v>0</v>
      </c>
      <c r="L446" s="24" t="str">
        <f>IFERROR(VLOOKUP($H446,'[1]Actual &amp; PO  Analysis 2020'!$A$4:$CB$300,80,0),"")</f>
        <v>0</v>
      </c>
      <c r="M446" s="24">
        <f>IFERROR(VLOOKUP($H446,'[1]Actual &amp; PO  Analysis 2020'!$A$4:$CH$300,86,0),"")</f>
        <v>1.4179999999999999</v>
      </c>
      <c r="N446" s="25">
        <v>1.6340000000000001</v>
      </c>
    </row>
    <row r="447" spans="1:14" x14ac:dyDescent="0.25">
      <c r="A447" s="11" t="s">
        <v>394</v>
      </c>
      <c r="B447" s="17">
        <v>0</v>
      </c>
      <c r="C447" s="17">
        <v>1.92</v>
      </c>
      <c r="D447" s="17">
        <v>2.9699999999999998</v>
      </c>
      <c r="E447" s="17">
        <v>0.1</v>
      </c>
      <c r="F447" s="17">
        <v>1.641</v>
      </c>
      <c r="G447" s="22">
        <f t="shared" si="6"/>
        <v>6.6309999999999993</v>
      </c>
      <c r="H447" s="11" t="s">
        <v>376</v>
      </c>
      <c r="I447" s="24" t="str">
        <f>IFERROR(VLOOKUP($H447,'[1]Actual &amp; PO  Analysis 2020'!$A$4:$BJ$300,62,0),"")</f>
        <v>0</v>
      </c>
      <c r="J447" s="24" t="str">
        <f>IFERROR(VLOOKUP($H447,'[1]Actual &amp; PO  Analysis 2020'!$A$4:$BP$300,68,0),"")</f>
        <v>0</v>
      </c>
      <c r="K447" s="24" t="str">
        <f>IFERROR(VLOOKUP($H447,'[1]Actual &amp; PO  Analysis 2020'!$A$4:$BV$300,74,0),"")</f>
        <v>0</v>
      </c>
      <c r="L447" s="24" t="str">
        <f>IFERROR(VLOOKUP($H447,'[1]Actual &amp; PO  Analysis 2020'!$A$4:$CB$300,80,0),"")</f>
        <v>0</v>
      </c>
      <c r="M447" s="24">
        <f>IFERROR(VLOOKUP($H447,'[1]Actual &amp; PO  Analysis 2020'!$A$4:$CH$300,86,0),"")</f>
        <v>1.4179999999999999</v>
      </c>
      <c r="N447" s="25">
        <v>1.6340000000000001</v>
      </c>
    </row>
    <row r="448" spans="1:14" x14ac:dyDescent="0.25">
      <c r="A448" s="11" t="s">
        <v>395</v>
      </c>
      <c r="B448" s="17">
        <v>0</v>
      </c>
      <c r="C448" s="17">
        <v>2.3719999999999999</v>
      </c>
      <c r="D448" s="17">
        <v>4.0629999999999997</v>
      </c>
      <c r="E448" s="17">
        <v>0.11899999999999999</v>
      </c>
      <c r="F448" s="17">
        <v>1.946</v>
      </c>
      <c r="G448" s="22">
        <f t="shared" si="6"/>
        <v>8.5</v>
      </c>
      <c r="H448" s="11" t="s">
        <v>80</v>
      </c>
      <c r="I448" s="24" t="str">
        <f>IFERROR(VLOOKUP($H448,'[1]Actual &amp; PO  Analysis 2020'!$A$4:$BJ$300,62,0),"")</f>
        <v/>
      </c>
      <c r="J448" s="24" t="str">
        <f>IFERROR(VLOOKUP($H448,'[1]Actual &amp; PO  Analysis 2020'!$A$4:$BP$300,68,0),"")</f>
        <v/>
      </c>
      <c r="K448" s="24" t="str">
        <f>IFERROR(VLOOKUP($H448,'[1]Actual &amp; PO  Analysis 2020'!$A$4:$BV$300,74,0),"")</f>
        <v/>
      </c>
      <c r="L448" s="24" t="str">
        <f>IFERROR(VLOOKUP($H448,'[1]Actual &amp; PO  Analysis 2020'!$A$4:$CB$300,80,0),"")</f>
        <v/>
      </c>
      <c r="M448" s="24" t="str">
        <f>IFERROR(VLOOKUP($H448,'[1]Actual &amp; PO  Analysis 2020'!$A$4:$CH$300,86,0),"")</f>
        <v/>
      </c>
      <c r="N448" s="25">
        <v>0</v>
      </c>
    </row>
    <row r="449" spans="1:14" x14ac:dyDescent="0.25">
      <c r="A449" s="11" t="s">
        <v>56</v>
      </c>
      <c r="B449" s="17">
        <v>0</v>
      </c>
      <c r="C449" s="17">
        <v>1.52</v>
      </c>
      <c r="D449" s="17">
        <v>2.48</v>
      </c>
      <c r="E449" s="17">
        <v>0.1</v>
      </c>
      <c r="F449" s="17">
        <v>1.72</v>
      </c>
      <c r="G449" s="22">
        <f t="shared" si="6"/>
        <v>5.8199999999999994</v>
      </c>
      <c r="H449" s="11" t="s">
        <v>411</v>
      </c>
      <c r="I449" s="24" t="str">
        <f>IFERROR(VLOOKUP($H449,'[1]Actual &amp; PO  Analysis 2020'!$A$4:$BJ$300,62,0),"")</f>
        <v>0</v>
      </c>
      <c r="J449" s="24">
        <f>IFERROR(VLOOKUP($H449,'[1]Actual &amp; PO  Analysis 2020'!$A$4:$BP$300,68,0),"")</f>
        <v>1.911</v>
      </c>
      <c r="K449" s="24">
        <f>IFERROR(VLOOKUP($H449,'[1]Actual &amp; PO  Analysis 2020'!$A$4:$BV$300,74,0),"")</f>
        <v>4.7030000000000003</v>
      </c>
      <c r="L449" s="24">
        <f>IFERROR(VLOOKUP($H449,'[1]Actual &amp; PO  Analysis 2020'!$A$4:$CB$300,80,0),"")</f>
        <v>0.184</v>
      </c>
      <c r="M449" s="24">
        <f>IFERROR(VLOOKUP($H449,'[1]Actual &amp; PO  Analysis 2020'!$A$4:$CH$300,86,0),"")</f>
        <v>1.9735</v>
      </c>
      <c r="N449" s="25">
        <v>10.481000000000002</v>
      </c>
    </row>
    <row r="450" spans="1:14" x14ac:dyDescent="0.25">
      <c r="A450" s="11" t="s">
        <v>7</v>
      </c>
      <c r="B450" s="17">
        <v>0</v>
      </c>
      <c r="C450" s="17">
        <v>2.6669999999999998</v>
      </c>
      <c r="D450" s="17">
        <v>3.7189999999999999</v>
      </c>
      <c r="E450" s="17">
        <v>0.32900000000000001</v>
      </c>
      <c r="F450" s="17">
        <v>1.7850000000000001</v>
      </c>
      <c r="G450" s="22">
        <f t="shared" ref="G450:G506" si="7">SUM(B450:F450)</f>
        <v>8.5</v>
      </c>
      <c r="H450" s="11" t="s">
        <v>457</v>
      </c>
      <c r="I450" s="24" t="str">
        <f>IFERROR(VLOOKUP($H450,'[1]Actual &amp; PO  Analysis 2020'!$A$4:$BJ$300,62,0),"")</f>
        <v/>
      </c>
      <c r="J450" s="24" t="str">
        <f>IFERROR(VLOOKUP($H450,'[1]Actual &amp; PO  Analysis 2020'!$A$4:$BP$300,68,0),"")</f>
        <v/>
      </c>
      <c r="K450" s="24" t="str">
        <f>IFERROR(VLOOKUP($H450,'[1]Actual &amp; PO  Analysis 2020'!$A$4:$BV$300,74,0),"")</f>
        <v/>
      </c>
      <c r="L450" s="24" t="str">
        <f>IFERROR(VLOOKUP($H450,'[1]Actual &amp; PO  Analysis 2020'!$A$4:$CB$300,80,0),"")</f>
        <v/>
      </c>
      <c r="M450" s="24" t="str">
        <f>IFERROR(VLOOKUP($H450,'[1]Actual &amp; PO  Analysis 2020'!$A$4:$CH$300,86,0),"")</f>
        <v/>
      </c>
      <c r="N450" s="25">
        <v>0</v>
      </c>
    </row>
    <row r="451" spans="1:14" x14ac:dyDescent="0.25">
      <c r="A451" s="11" t="s">
        <v>429</v>
      </c>
      <c r="B451" s="17">
        <v>0</v>
      </c>
      <c r="C451" s="17">
        <v>0</v>
      </c>
      <c r="D451" s="17">
        <v>0</v>
      </c>
      <c r="E451" s="17">
        <v>0</v>
      </c>
      <c r="F451" s="17">
        <v>0</v>
      </c>
      <c r="G451" s="22">
        <f t="shared" si="7"/>
        <v>0</v>
      </c>
      <c r="H451" s="11" t="s">
        <v>394</v>
      </c>
      <c r="I451" s="24" t="str">
        <f>IFERROR(VLOOKUP($H451,'[1]Actual &amp; PO  Analysis 2020'!$A$4:$BJ$300,62,0),"")</f>
        <v/>
      </c>
      <c r="J451" s="24" t="str">
        <f>IFERROR(VLOOKUP($H451,'[1]Actual &amp; PO  Analysis 2020'!$A$4:$BP$300,68,0),"")</f>
        <v/>
      </c>
      <c r="K451" s="24" t="str">
        <f>IFERROR(VLOOKUP($H451,'[1]Actual &amp; PO  Analysis 2020'!$A$4:$BV$300,74,0),"")</f>
        <v/>
      </c>
      <c r="L451" s="24" t="str">
        <f>IFERROR(VLOOKUP($H451,'[1]Actual &amp; PO  Analysis 2020'!$A$4:$CB$300,80,0),"")</f>
        <v/>
      </c>
      <c r="M451" s="24" t="str">
        <f>IFERROR(VLOOKUP($H451,'[1]Actual &amp; PO  Analysis 2020'!$A$4:$CH$300,86,0),"")</f>
        <v/>
      </c>
      <c r="N451" s="25">
        <v>0</v>
      </c>
    </row>
    <row r="452" spans="1:14" x14ac:dyDescent="0.25">
      <c r="A452" s="11" t="s">
        <v>35</v>
      </c>
      <c r="B452" s="17">
        <v>0</v>
      </c>
      <c r="C452" s="17">
        <v>1.92</v>
      </c>
      <c r="D452" s="17">
        <v>2.2599999999999998</v>
      </c>
      <c r="E452" s="17">
        <v>0.1</v>
      </c>
      <c r="F452" s="17">
        <v>0.8</v>
      </c>
      <c r="G452" s="22">
        <f t="shared" si="7"/>
        <v>5.0799999999999992</v>
      </c>
      <c r="H452" s="11" t="s">
        <v>395</v>
      </c>
      <c r="I452" s="24" t="str">
        <f>IFERROR(VLOOKUP($H452,'[1]Actual &amp; PO  Analysis 2020'!$A$4:$BJ$300,62,0),"")</f>
        <v/>
      </c>
      <c r="J452" s="24" t="str">
        <f>IFERROR(VLOOKUP($H452,'[1]Actual &amp; PO  Analysis 2020'!$A$4:$BP$300,68,0),"")</f>
        <v/>
      </c>
      <c r="K452" s="24" t="str">
        <f>IFERROR(VLOOKUP($H452,'[1]Actual &amp; PO  Analysis 2020'!$A$4:$BV$300,74,0),"")</f>
        <v/>
      </c>
      <c r="L452" s="24" t="str">
        <f>IFERROR(VLOOKUP($H452,'[1]Actual &amp; PO  Analysis 2020'!$A$4:$CB$300,80,0),"")</f>
        <v/>
      </c>
      <c r="M452" s="24" t="str">
        <f>IFERROR(VLOOKUP($H452,'[1]Actual &amp; PO  Analysis 2020'!$A$4:$CH$300,86,0),"")</f>
        <v/>
      </c>
      <c r="N452" s="25">
        <v>0</v>
      </c>
    </row>
    <row r="453" spans="1:14" x14ac:dyDescent="0.25">
      <c r="A453" s="11" t="s">
        <v>390</v>
      </c>
      <c r="B453" s="17">
        <v>0</v>
      </c>
      <c r="C453" s="17">
        <v>0.49</v>
      </c>
      <c r="D453" s="17">
        <v>2.23</v>
      </c>
      <c r="E453" s="17">
        <v>0.1</v>
      </c>
      <c r="F453" s="17">
        <v>0.82</v>
      </c>
      <c r="G453" s="22">
        <f t="shared" si="7"/>
        <v>3.6399999999999997</v>
      </c>
      <c r="H453" s="11" t="s">
        <v>56</v>
      </c>
      <c r="I453" s="24" t="str">
        <f>IFERROR(VLOOKUP($H453,'[1]Actual &amp; PO  Analysis 2020'!$A$4:$BJ$300,62,0),"")</f>
        <v>0</v>
      </c>
      <c r="J453" s="24">
        <f>IFERROR(VLOOKUP($H453,'[1]Actual &amp; PO  Analysis 2020'!$A$4:$BP$300,68,0),"")</f>
        <v>2.412666666666667</v>
      </c>
      <c r="K453" s="24">
        <f>IFERROR(VLOOKUP($H453,'[1]Actual &amp; PO  Analysis 2020'!$A$4:$BV$300,74,0),"")</f>
        <v>4.3249999999999993</v>
      </c>
      <c r="L453" s="24">
        <f>IFERROR(VLOOKUP($H453,'[1]Actual &amp; PO  Analysis 2020'!$A$4:$CB$300,80,0),"")</f>
        <v>0.17100000000000001</v>
      </c>
      <c r="M453" s="24">
        <f>IFERROR(VLOOKUP($H453,'[1]Actual &amp; PO  Analysis 2020'!$A$4:$CH$300,86,0),"")</f>
        <v>1.0765</v>
      </c>
      <c r="N453" s="25">
        <v>7.4205000000000005</v>
      </c>
    </row>
    <row r="454" spans="1:14" x14ac:dyDescent="0.25">
      <c r="A454" s="11" t="s">
        <v>390</v>
      </c>
      <c r="B454" s="17">
        <v>0</v>
      </c>
      <c r="C454" s="17">
        <v>0.49</v>
      </c>
      <c r="D454" s="17">
        <v>2.23</v>
      </c>
      <c r="E454" s="17">
        <v>0.1</v>
      </c>
      <c r="F454" s="17">
        <v>0.82</v>
      </c>
      <c r="G454" s="22">
        <f t="shared" si="7"/>
        <v>3.6399999999999997</v>
      </c>
      <c r="H454" s="11" t="s">
        <v>7</v>
      </c>
      <c r="I454" s="24" t="str">
        <f>IFERROR(VLOOKUP($H454,'[1]Actual &amp; PO  Analysis 2020'!$A$4:$BJ$300,62,0),"")</f>
        <v>0</v>
      </c>
      <c r="J454" s="24">
        <f>IFERROR(VLOOKUP($H454,'[1]Actual &amp; PO  Analysis 2020'!$A$4:$BP$300,68,0),"")</f>
        <v>1.3540000000000001</v>
      </c>
      <c r="K454" s="24">
        <f>IFERROR(VLOOKUP($H454,'[1]Actual &amp; PO  Analysis 2020'!$A$4:$BV$300,74,0),"")</f>
        <v>5.57</v>
      </c>
      <c r="L454" s="24">
        <f>IFERROR(VLOOKUP($H454,'[1]Actual &amp; PO  Analysis 2020'!$A$4:$CB$300,80,0),"")</f>
        <v>0.17199999999999999</v>
      </c>
      <c r="M454" s="24">
        <f>IFERROR(VLOOKUP($H454,'[1]Actual &amp; PO  Analysis 2020'!$A$4:$CH$300,86,0),"")</f>
        <v>1.2123333333333333</v>
      </c>
      <c r="N454" s="25">
        <v>1.4179999999999999</v>
      </c>
    </row>
    <row r="455" spans="1:14" x14ac:dyDescent="0.25">
      <c r="A455" s="11" t="s">
        <v>396</v>
      </c>
      <c r="B455" s="17">
        <v>0</v>
      </c>
      <c r="C455" s="17">
        <v>2.4</v>
      </c>
      <c r="D455" s="17">
        <v>4.38</v>
      </c>
      <c r="E455" s="17">
        <v>0.1</v>
      </c>
      <c r="F455" s="17">
        <v>1.0900000000000001</v>
      </c>
      <c r="G455" s="22">
        <f t="shared" si="7"/>
        <v>7.9699999999999989</v>
      </c>
      <c r="H455" s="11" t="s">
        <v>429</v>
      </c>
      <c r="I455" s="24" t="str">
        <f>IFERROR(VLOOKUP($H455,'[1]Actual &amp; PO  Analysis 2020'!$A$4:$BJ$300,62,0),"")</f>
        <v/>
      </c>
      <c r="J455" s="24" t="str">
        <f>IFERROR(VLOOKUP($H455,'[1]Actual &amp; PO  Analysis 2020'!$A$4:$BP$300,68,0),"")</f>
        <v/>
      </c>
      <c r="K455" s="24" t="str">
        <f>IFERROR(VLOOKUP($H455,'[1]Actual &amp; PO  Analysis 2020'!$A$4:$BV$300,74,0),"")</f>
        <v/>
      </c>
      <c r="L455" s="24" t="str">
        <f>IFERROR(VLOOKUP($H455,'[1]Actual &amp; PO  Analysis 2020'!$A$4:$CB$300,80,0),"")</f>
        <v/>
      </c>
      <c r="M455" s="24" t="str">
        <f>IFERROR(VLOOKUP($H455,'[1]Actual &amp; PO  Analysis 2020'!$A$4:$CH$300,86,0),"")</f>
        <v/>
      </c>
      <c r="N455" s="25">
        <v>0</v>
      </c>
    </row>
    <row r="456" spans="1:14" x14ac:dyDescent="0.25">
      <c r="A456" s="11" t="s">
        <v>377</v>
      </c>
      <c r="B456" s="17">
        <v>0</v>
      </c>
      <c r="C456" s="17">
        <v>2.4</v>
      </c>
      <c r="D456" s="17">
        <v>4.38</v>
      </c>
      <c r="E456" s="17">
        <v>0.1</v>
      </c>
      <c r="F456" s="17">
        <v>1.0900000000000001</v>
      </c>
      <c r="G456" s="22">
        <f t="shared" si="7"/>
        <v>7.9699999999999989</v>
      </c>
      <c r="H456" s="11" t="s">
        <v>35</v>
      </c>
      <c r="I456" s="24" t="str">
        <f>IFERROR(VLOOKUP($H456,'[1]Actual &amp; PO  Analysis 2020'!$A$4:$BJ$300,62,0),"")</f>
        <v/>
      </c>
      <c r="J456" s="24" t="str">
        <f>IFERROR(VLOOKUP($H456,'[1]Actual &amp; PO  Analysis 2020'!$A$4:$BP$300,68,0),"")</f>
        <v/>
      </c>
      <c r="K456" s="24" t="str">
        <f>IFERROR(VLOOKUP($H456,'[1]Actual &amp; PO  Analysis 2020'!$A$4:$BV$300,74,0),"")</f>
        <v/>
      </c>
      <c r="L456" s="24" t="str">
        <f>IFERROR(VLOOKUP($H456,'[1]Actual &amp; PO  Analysis 2020'!$A$4:$CB$300,80,0),"")</f>
        <v/>
      </c>
      <c r="M456" s="24" t="str">
        <f>IFERROR(VLOOKUP($H456,'[1]Actual &amp; PO  Analysis 2020'!$A$4:$CH$300,86,0),"")</f>
        <v/>
      </c>
      <c r="N456" s="25">
        <v>0</v>
      </c>
    </row>
    <row r="457" spans="1:14" x14ac:dyDescent="0.25">
      <c r="A457" s="11" t="s">
        <v>36</v>
      </c>
      <c r="B457" s="17">
        <v>0</v>
      </c>
      <c r="C457" s="17">
        <v>0.64</v>
      </c>
      <c r="D457" s="17">
        <v>2.1879999999999997</v>
      </c>
      <c r="E457" s="17">
        <v>0.1</v>
      </c>
      <c r="F457" s="17">
        <v>0.68700000000000006</v>
      </c>
      <c r="G457" s="22">
        <f t="shared" si="7"/>
        <v>3.6150000000000002</v>
      </c>
      <c r="H457" s="11" t="s">
        <v>390</v>
      </c>
      <c r="I457" s="24" t="str">
        <f>IFERROR(VLOOKUP($H457,'[1]Actual &amp; PO  Analysis 2020'!$A$4:$BJ$300,62,0),"")</f>
        <v>0</v>
      </c>
      <c r="J457" s="24">
        <f>IFERROR(VLOOKUP($H457,'[1]Actual &amp; PO  Analysis 2020'!$A$4:$BP$300,68,0),"")</f>
        <v>2.5565000000000002</v>
      </c>
      <c r="K457" s="24">
        <f>IFERROR(VLOOKUP($H457,'[1]Actual &amp; PO  Analysis 2020'!$A$4:$BV$300,74,0),"")</f>
        <v>4.3658000000000001</v>
      </c>
      <c r="L457" s="24">
        <f>IFERROR(VLOOKUP($H457,'[1]Actual &amp; PO  Analysis 2020'!$A$4:$CB$300,80,0),"")</f>
        <v>0.19400000000000001</v>
      </c>
      <c r="M457" s="24">
        <f>IFERROR(VLOOKUP($H457,'[1]Actual &amp; PO  Analysis 2020'!$A$4:$CH$300,86,0),"")</f>
        <v>1.9215</v>
      </c>
      <c r="N457" s="25">
        <v>9.7881666666666671</v>
      </c>
    </row>
    <row r="458" spans="1:14" x14ac:dyDescent="0.25">
      <c r="A458" s="11" t="s">
        <v>412</v>
      </c>
      <c r="B458" s="17">
        <v>0</v>
      </c>
      <c r="C458" s="17">
        <v>1.6</v>
      </c>
      <c r="D458" s="17">
        <v>2.67</v>
      </c>
      <c r="E458" s="17">
        <v>0.1</v>
      </c>
      <c r="F458" s="17">
        <v>1.0900000000000001</v>
      </c>
      <c r="G458" s="22">
        <f t="shared" si="7"/>
        <v>5.4599999999999991</v>
      </c>
      <c r="H458" s="11" t="s">
        <v>390</v>
      </c>
      <c r="I458" s="24" t="str">
        <f>IFERROR(VLOOKUP($H458,'[1]Actual &amp; PO  Analysis 2020'!$A$4:$BJ$300,62,0),"")</f>
        <v>0</v>
      </c>
      <c r="J458" s="24">
        <f>IFERROR(VLOOKUP($H458,'[1]Actual &amp; PO  Analysis 2020'!$A$4:$BP$300,68,0),"")</f>
        <v>2.5565000000000002</v>
      </c>
      <c r="K458" s="24">
        <f>IFERROR(VLOOKUP($H458,'[1]Actual &amp; PO  Analysis 2020'!$A$4:$BV$300,74,0),"")</f>
        <v>4.3658000000000001</v>
      </c>
      <c r="L458" s="24">
        <f>IFERROR(VLOOKUP($H458,'[1]Actual &amp; PO  Analysis 2020'!$A$4:$CB$300,80,0),"")</f>
        <v>0.19400000000000001</v>
      </c>
      <c r="M458" s="24">
        <f>IFERROR(VLOOKUP($H458,'[1]Actual &amp; PO  Analysis 2020'!$A$4:$CH$300,86,0),"")</f>
        <v>1.9215</v>
      </c>
      <c r="N458" s="25">
        <v>9.7881666666666671</v>
      </c>
    </row>
    <row r="459" spans="1:14" x14ac:dyDescent="0.25">
      <c r="A459" s="11" t="s">
        <v>281</v>
      </c>
      <c r="B459" s="17">
        <v>0</v>
      </c>
      <c r="C459" s="17">
        <v>2.7</v>
      </c>
      <c r="D459" s="17">
        <v>3.9200000000000004</v>
      </c>
      <c r="E459" s="17">
        <v>0.1</v>
      </c>
      <c r="F459" s="17">
        <v>1.19</v>
      </c>
      <c r="G459" s="22">
        <f t="shared" si="7"/>
        <v>7.91</v>
      </c>
      <c r="H459" s="11" t="s">
        <v>396</v>
      </c>
      <c r="I459" s="24" t="str">
        <f>IFERROR(VLOOKUP($H459,'[1]Actual &amp; PO  Analysis 2020'!$A$4:$BJ$300,62,0),"")</f>
        <v>0</v>
      </c>
      <c r="J459" s="24">
        <f>IFERROR(VLOOKUP($H459,'[1]Actual &amp; PO  Analysis 2020'!$A$4:$BP$300,68,0),"")</f>
        <v>2.3580000000000001</v>
      </c>
      <c r="K459" s="24">
        <f>IFERROR(VLOOKUP($H459,'[1]Actual &amp; PO  Analysis 2020'!$A$4:$BV$300,74,0),"")</f>
        <v>6.7320000000000002</v>
      </c>
      <c r="L459" s="24">
        <f>IFERROR(VLOOKUP($H459,'[1]Actual &amp; PO  Analysis 2020'!$A$4:$CB$300,80,0),"")</f>
        <v>0.23300000000000001</v>
      </c>
      <c r="M459" s="24">
        <f>IFERROR(VLOOKUP($H459,'[1]Actual &amp; PO  Analysis 2020'!$A$4:$CH$300,86,0),"")</f>
        <v>1.8380000000000001</v>
      </c>
      <c r="N459" s="25">
        <v>11.161000000000001</v>
      </c>
    </row>
    <row r="460" spans="1:14" x14ac:dyDescent="0.25">
      <c r="A460" s="11" t="s">
        <v>51</v>
      </c>
      <c r="B460" s="17">
        <v>0</v>
      </c>
      <c r="C460" s="17">
        <v>0.95</v>
      </c>
      <c r="D460" s="17">
        <v>1.81</v>
      </c>
      <c r="E460" s="17">
        <v>0.1</v>
      </c>
      <c r="F460" s="17">
        <v>0.74</v>
      </c>
      <c r="G460" s="22">
        <f t="shared" si="7"/>
        <v>3.5999999999999996</v>
      </c>
      <c r="H460" s="11" t="s">
        <v>377</v>
      </c>
      <c r="I460" s="24" t="str">
        <f>IFERROR(VLOOKUP($H460,'[1]Actual &amp; PO  Analysis 2020'!$A$4:$BJ$300,62,0),"")</f>
        <v>0</v>
      </c>
      <c r="J460" s="24">
        <f>IFERROR(VLOOKUP($H460,'[1]Actual &amp; PO  Analysis 2020'!$A$4:$BP$300,68,0),"")</f>
        <v>2.0183333333333331</v>
      </c>
      <c r="K460" s="24">
        <f>IFERROR(VLOOKUP($H460,'[1]Actual &amp; PO  Analysis 2020'!$A$4:$BV$300,74,0),"")</f>
        <v>2.6635</v>
      </c>
      <c r="L460" s="24">
        <f>IFERROR(VLOOKUP($H460,'[1]Actual &amp; PO  Analysis 2020'!$A$4:$CB$300,80,0),"")</f>
        <v>0.16249999999999998</v>
      </c>
      <c r="M460" s="24">
        <f>IFERROR(VLOOKUP($H460,'[1]Actual &amp; PO  Analysis 2020'!$A$4:$CH$300,86,0),"")</f>
        <v>1.137</v>
      </c>
      <c r="N460" s="25">
        <v>11.162500000000001</v>
      </c>
    </row>
    <row r="461" spans="1:14" x14ac:dyDescent="0.25">
      <c r="A461" s="11" t="s">
        <v>52</v>
      </c>
      <c r="B461" s="17">
        <v>0</v>
      </c>
      <c r="C461" s="17">
        <v>1.04</v>
      </c>
      <c r="D461" s="17">
        <v>1.81</v>
      </c>
      <c r="E461" s="17">
        <v>0.1</v>
      </c>
      <c r="F461" s="17">
        <v>0.74</v>
      </c>
      <c r="G461" s="22">
        <f t="shared" si="7"/>
        <v>3.6900000000000004</v>
      </c>
      <c r="H461" s="11" t="s">
        <v>36</v>
      </c>
      <c r="I461" s="24" t="str">
        <f>IFERROR(VLOOKUP($H461,'[1]Actual &amp; PO  Analysis 2020'!$A$4:$BJ$300,62,0),"")</f>
        <v>0</v>
      </c>
      <c r="J461" s="24">
        <f>IFERROR(VLOOKUP($H461,'[1]Actual &amp; PO  Analysis 2020'!$A$4:$BP$300,68,0),"")</f>
        <v>2.02</v>
      </c>
      <c r="K461" s="24">
        <f>IFERROR(VLOOKUP($H461,'[1]Actual &amp; PO  Analysis 2020'!$A$4:$BV$300,74,0),"")</f>
        <v>2.964</v>
      </c>
      <c r="L461" s="24">
        <f>IFERROR(VLOOKUP($H461,'[1]Actual &amp; PO  Analysis 2020'!$A$4:$CB$300,80,0),"")</f>
        <v>0.158</v>
      </c>
      <c r="M461" s="24">
        <f>IFERROR(VLOOKUP($H461,'[1]Actual &amp; PO  Analysis 2020'!$A$4:$CH$300,86,0),"")</f>
        <v>1.19</v>
      </c>
      <c r="N461" s="25">
        <v>7.4970833333333333</v>
      </c>
    </row>
    <row r="462" spans="1:14" x14ac:dyDescent="0.25">
      <c r="A462" s="11" t="s">
        <v>400</v>
      </c>
      <c r="B462" s="17">
        <v>0</v>
      </c>
      <c r="C462" s="17">
        <v>1.29</v>
      </c>
      <c r="D462" s="17">
        <v>2.1850000000000001</v>
      </c>
      <c r="E462" s="17">
        <v>0.1</v>
      </c>
      <c r="F462" s="17">
        <v>0.68500000000000005</v>
      </c>
      <c r="G462" s="22">
        <f t="shared" si="7"/>
        <v>4.26</v>
      </c>
      <c r="H462" s="11" t="s">
        <v>412</v>
      </c>
      <c r="I462" s="24" t="str">
        <f>IFERROR(VLOOKUP($H462,'[1]Actual &amp; PO  Analysis 2020'!$A$4:$BJ$300,62,0),"")</f>
        <v>0</v>
      </c>
      <c r="J462" s="24">
        <f>IFERROR(VLOOKUP($H462,'[1]Actual &amp; PO  Analysis 2020'!$A$4:$BP$300,68,0),"")</f>
        <v>1.99</v>
      </c>
      <c r="K462" s="24">
        <f>IFERROR(VLOOKUP($H462,'[1]Actual &amp; PO  Analysis 2020'!$A$4:$BV$300,74,0),"")</f>
        <v>2.6890000000000001</v>
      </c>
      <c r="L462" s="24">
        <f>IFERROR(VLOOKUP($H462,'[1]Actual &amp; PO  Analysis 2020'!$A$4:$CB$300,80,0),"")</f>
        <v>0.17399999999999999</v>
      </c>
      <c r="M462" s="24">
        <f>IFERROR(VLOOKUP($H462,'[1]Actual &amp; PO  Analysis 2020'!$A$4:$CH$300,86,0),"")</f>
        <v>0.84199999999999997</v>
      </c>
      <c r="N462" s="25">
        <v>5.6839999999999993</v>
      </c>
    </row>
    <row r="463" spans="1:14" x14ac:dyDescent="0.25">
      <c r="A463" s="11" t="s">
        <v>405</v>
      </c>
      <c r="B463" s="17">
        <v>0</v>
      </c>
      <c r="C463" s="17">
        <v>1.29</v>
      </c>
      <c r="D463" s="17">
        <v>2.1850000000000001</v>
      </c>
      <c r="E463" s="17">
        <v>0.1</v>
      </c>
      <c r="F463" s="17">
        <v>0.68500000000000005</v>
      </c>
      <c r="G463" s="22">
        <f t="shared" si="7"/>
        <v>4.26</v>
      </c>
      <c r="H463" s="11" t="s">
        <v>281</v>
      </c>
      <c r="I463" s="24" t="str">
        <f>IFERROR(VLOOKUP($H463,'[1]Actual &amp; PO  Analysis 2020'!$A$4:$BJ$300,62,0),"")</f>
        <v/>
      </c>
      <c r="J463" s="24" t="str">
        <f>IFERROR(VLOOKUP($H463,'[1]Actual &amp; PO  Analysis 2020'!$A$4:$BP$300,68,0),"")</f>
        <v/>
      </c>
      <c r="K463" s="24" t="str">
        <f>IFERROR(VLOOKUP($H463,'[1]Actual &amp; PO  Analysis 2020'!$A$4:$BV$300,74,0),"")</f>
        <v/>
      </c>
      <c r="L463" s="24" t="str">
        <f>IFERROR(VLOOKUP($H463,'[1]Actual &amp; PO  Analysis 2020'!$A$4:$CB$300,80,0),"")</f>
        <v/>
      </c>
      <c r="M463" s="24" t="str">
        <f>IFERROR(VLOOKUP($H463,'[1]Actual &amp; PO  Analysis 2020'!$A$4:$CH$300,86,0),"")</f>
        <v/>
      </c>
      <c r="N463" s="25">
        <v>0</v>
      </c>
    </row>
    <row r="464" spans="1:14" x14ac:dyDescent="0.25">
      <c r="A464" s="11" t="s">
        <v>398</v>
      </c>
      <c r="B464" s="17">
        <v>0</v>
      </c>
      <c r="C464" s="17">
        <v>1.2909999999999999</v>
      </c>
      <c r="D464" s="17">
        <v>2.1419999999999999</v>
      </c>
      <c r="E464" s="17">
        <v>0.1</v>
      </c>
      <c r="F464" s="17">
        <v>0.68200000000000005</v>
      </c>
      <c r="G464" s="22">
        <f t="shared" si="7"/>
        <v>4.2149999999999999</v>
      </c>
      <c r="H464" s="11" t="s">
        <v>51</v>
      </c>
      <c r="I464" s="24" t="str">
        <f>IFERROR(VLOOKUP($H464,'[1]Actual &amp; PO  Analysis 2020'!$A$4:$BJ$300,62,0),"")</f>
        <v/>
      </c>
      <c r="J464" s="24" t="str">
        <f>IFERROR(VLOOKUP($H464,'[1]Actual &amp; PO  Analysis 2020'!$A$4:$BP$300,68,0),"")</f>
        <v/>
      </c>
      <c r="K464" s="24" t="str">
        <f>IFERROR(VLOOKUP($H464,'[1]Actual &amp; PO  Analysis 2020'!$A$4:$BV$300,74,0),"")</f>
        <v/>
      </c>
      <c r="L464" s="24" t="str">
        <f>IFERROR(VLOOKUP($H464,'[1]Actual &amp; PO  Analysis 2020'!$A$4:$CB$300,80,0),"")</f>
        <v/>
      </c>
      <c r="M464" s="24" t="str">
        <f>IFERROR(VLOOKUP($H464,'[1]Actual &amp; PO  Analysis 2020'!$A$4:$CH$300,86,0),"")</f>
        <v/>
      </c>
      <c r="N464" s="25">
        <v>0</v>
      </c>
    </row>
    <row r="465" spans="1:14" x14ac:dyDescent="0.25">
      <c r="A465" s="11" t="s">
        <v>403</v>
      </c>
      <c r="B465" s="17">
        <v>0</v>
      </c>
      <c r="C465" s="17">
        <v>1.371</v>
      </c>
      <c r="D465" s="17">
        <v>2.1850000000000001</v>
      </c>
      <c r="E465" s="17">
        <v>0.1</v>
      </c>
      <c r="F465" s="17">
        <v>0.68500000000000005</v>
      </c>
      <c r="G465" s="22">
        <f t="shared" si="7"/>
        <v>4.3410000000000002</v>
      </c>
      <c r="H465" s="11" t="s">
        <v>52</v>
      </c>
      <c r="I465" s="24" t="str">
        <f>IFERROR(VLOOKUP($H465,'[1]Actual &amp; PO  Analysis 2020'!$A$4:$BJ$300,62,0),"")</f>
        <v/>
      </c>
      <c r="J465" s="24" t="str">
        <f>IFERROR(VLOOKUP($H465,'[1]Actual &amp; PO  Analysis 2020'!$A$4:$BP$300,68,0),"")</f>
        <v/>
      </c>
      <c r="K465" s="24" t="str">
        <f>IFERROR(VLOOKUP($H465,'[1]Actual &amp; PO  Analysis 2020'!$A$4:$BV$300,74,0),"")</f>
        <v/>
      </c>
      <c r="L465" s="24" t="str">
        <f>IFERROR(VLOOKUP($H465,'[1]Actual &amp; PO  Analysis 2020'!$A$4:$CB$300,80,0),"")</f>
        <v/>
      </c>
      <c r="M465" s="24" t="str">
        <f>IFERROR(VLOOKUP($H465,'[1]Actual &amp; PO  Analysis 2020'!$A$4:$CH$300,86,0),"")</f>
        <v/>
      </c>
      <c r="N465" s="25">
        <v>0</v>
      </c>
    </row>
    <row r="466" spans="1:14" x14ac:dyDescent="0.25">
      <c r="A466" s="11" t="s">
        <v>192</v>
      </c>
      <c r="B466" s="17">
        <v>0</v>
      </c>
      <c r="C466" s="17">
        <v>1.22</v>
      </c>
      <c r="D466" s="17">
        <v>2.09</v>
      </c>
      <c r="E466" s="17">
        <v>0.1</v>
      </c>
      <c r="F466" s="17">
        <v>0.68</v>
      </c>
      <c r="G466" s="22">
        <f t="shared" si="7"/>
        <v>4.09</v>
      </c>
      <c r="H466" s="11" t="s">
        <v>400</v>
      </c>
      <c r="I466" s="24" t="str">
        <f>IFERROR(VLOOKUP($H466,'[1]Actual &amp; PO  Analysis 2020'!$A$4:$BJ$300,62,0),"")</f>
        <v/>
      </c>
      <c r="J466" s="24" t="str">
        <f>IFERROR(VLOOKUP($H466,'[1]Actual &amp; PO  Analysis 2020'!$A$4:$BP$300,68,0),"")</f>
        <v/>
      </c>
      <c r="K466" s="24" t="str">
        <f>IFERROR(VLOOKUP($H466,'[1]Actual &amp; PO  Analysis 2020'!$A$4:$BV$300,74,0),"")</f>
        <v/>
      </c>
      <c r="L466" s="24" t="str">
        <f>IFERROR(VLOOKUP($H466,'[1]Actual &amp; PO  Analysis 2020'!$A$4:$CB$300,80,0),"")</f>
        <v/>
      </c>
      <c r="M466" s="24" t="str">
        <f>IFERROR(VLOOKUP($H466,'[1]Actual &amp; PO  Analysis 2020'!$A$4:$CH$300,86,0),"")</f>
        <v/>
      </c>
      <c r="N466" s="25">
        <v>0</v>
      </c>
    </row>
    <row r="467" spans="1:14" x14ac:dyDescent="0.25">
      <c r="A467" s="11" t="s">
        <v>221</v>
      </c>
      <c r="B467" s="17">
        <v>0</v>
      </c>
      <c r="C467" s="17">
        <v>1.25</v>
      </c>
      <c r="D467" s="17">
        <v>1.9500000000000002</v>
      </c>
      <c r="E467" s="17">
        <v>0.1</v>
      </c>
      <c r="F467" s="17">
        <v>0.68</v>
      </c>
      <c r="G467" s="22">
        <f t="shared" si="7"/>
        <v>3.9800000000000004</v>
      </c>
      <c r="H467" s="11" t="s">
        <v>405</v>
      </c>
      <c r="I467" s="24" t="str">
        <f>IFERROR(VLOOKUP($H467,'[1]Actual &amp; PO  Analysis 2020'!$A$4:$BJ$300,62,0),"")</f>
        <v/>
      </c>
      <c r="J467" s="24" t="str">
        <f>IFERROR(VLOOKUP($H467,'[1]Actual &amp; PO  Analysis 2020'!$A$4:$BP$300,68,0),"")</f>
        <v/>
      </c>
      <c r="K467" s="24" t="str">
        <f>IFERROR(VLOOKUP($H467,'[1]Actual &amp; PO  Analysis 2020'!$A$4:$BV$300,74,0),"")</f>
        <v/>
      </c>
      <c r="L467" s="24" t="str">
        <f>IFERROR(VLOOKUP($H467,'[1]Actual &amp; PO  Analysis 2020'!$A$4:$CB$300,80,0),"")</f>
        <v/>
      </c>
      <c r="M467" s="24" t="str">
        <f>IFERROR(VLOOKUP($H467,'[1]Actual &amp; PO  Analysis 2020'!$A$4:$CH$300,86,0),"")</f>
        <v/>
      </c>
      <c r="N467" s="25">
        <v>0</v>
      </c>
    </row>
    <row r="468" spans="1:14" x14ac:dyDescent="0.25">
      <c r="A468" s="11" t="s">
        <v>346</v>
      </c>
      <c r="B468" s="17">
        <v>0</v>
      </c>
      <c r="C468" s="17">
        <v>1.35</v>
      </c>
      <c r="D468" s="17">
        <v>2.0299999999999998</v>
      </c>
      <c r="E468" s="17">
        <v>0.1</v>
      </c>
      <c r="F468" s="17">
        <v>0.74</v>
      </c>
      <c r="G468" s="22">
        <f t="shared" si="7"/>
        <v>4.22</v>
      </c>
      <c r="H468" s="11" t="s">
        <v>398</v>
      </c>
      <c r="I468" s="24" t="str">
        <f>IFERROR(VLOOKUP($H468,'[1]Actual &amp; PO  Analysis 2020'!$A$4:$BJ$300,62,0),"")</f>
        <v/>
      </c>
      <c r="J468" s="24" t="str">
        <f>IFERROR(VLOOKUP($H468,'[1]Actual &amp; PO  Analysis 2020'!$A$4:$BP$300,68,0),"")</f>
        <v/>
      </c>
      <c r="K468" s="24" t="str">
        <f>IFERROR(VLOOKUP($H468,'[1]Actual &amp; PO  Analysis 2020'!$A$4:$BV$300,74,0),"")</f>
        <v/>
      </c>
      <c r="L468" s="24" t="str">
        <f>IFERROR(VLOOKUP($H468,'[1]Actual &amp; PO  Analysis 2020'!$A$4:$CB$300,80,0),"")</f>
        <v/>
      </c>
      <c r="M468" s="24" t="str">
        <f>IFERROR(VLOOKUP($H468,'[1]Actual &amp; PO  Analysis 2020'!$A$4:$CH$300,86,0),"")</f>
        <v/>
      </c>
      <c r="N468" s="25">
        <v>0</v>
      </c>
    </row>
    <row r="469" spans="1:14" x14ac:dyDescent="0.25">
      <c r="A469" s="11" t="s">
        <v>191</v>
      </c>
      <c r="B469" s="17">
        <v>0</v>
      </c>
      <c r="C469" s="17">
        <v>1.712</v>
      </c>
      <c r="D469" s="17">
        <v>2.5740000000000003</v>
      </c>
      <c r="E469" s="17">
        <v>0.127</v>
      </c>
      <c r="F469" s="17">
        <v>0.93799999999999994</v>
      </c>
      <c r="G469" s="22">
        <f t="shared" si="7"/>
        <v>5.351</v>
      </c>
      <c r="H469" s="11" t="s">
        <v>403</v>
      </c>
      <c r="I469" s="24" t="str">
        <f>IFERROR(VLOOKUP($H469,'[1]Actual &amp; PO  Analysis 2020'!$A$4:$BJ$300,62,0),"")</f>
        <v/>
      </c>
      <c r="J469" s="24" t="str">
        <f>IFERROR(VLOOKUP($H469,'[1]Actual &amp; PO  Analysis 2020'!$A$4:$BP$300,68,0),"")</f>
        <v/>
      </c>
      <c r="K469" s="24" t="str">
        <f>IFERROR(VLOOKUP($H469,'[1]Actual &amp; PO  Analysis 2020'!$A$4:$BV$300,74,0),"")</f>
        <v/>
      </c>
      <c r="L469" s="24" t="str">
        <f>IFERROR(VLOOKUP($H469,'[1]Actual &amp; PO  Analysis 2020'!$A$4:$CB$300,80,0),"")</f>
        <v/>
      </c>
      <c r="M469" s="24" t="str">
        <f>IFERROR(VLOOKUP($H469,'[1]Actual &amp; PO  Analysis 2020'!$A$4:$CH$300,86,0),"")</f>
        <v/>
      </c>
      <c r="N469" s="25">
        <v>0</v>
      </c>
    </row>
    <row r="470" spans="1:14" x14ac:dyDescent="0.25">
      <c r="A470" s="11" t="s">
        <v>15</v>
      </c>
      <c r="B470" s="17">
        <v>0</v>
      </c>
      <c r="C470" s="17">
        <v>0.96</v>
      </c>
      <c r="D470" s="17">
        <v>1.8399999999999999</v>
      </c>
      <c r="E470" s="17">
        <v>0.1</v>
      </c>
      <c r="F470" s="17">
        <v>0.82</v>
      </c>
      <c r="G470" s="22">
        <f t="shared" si="7"/>
        <v>3.7199999999999998</v>
      </c>
      <c r="H470" s="11" t="s">
        <v>192</v>
      </c>
      <c r="I470" s="24" t="str">
        <f>IFERROR(VLOOKUP($H470,'[1]Actual &amp; PO  Analysis 2020'!$A$4:$BJ$300,62,0),"")</f>
        <v/>
      </c>
      <c r="J470" s="24" t="str">
        <f>IFERROR(VLOOKUP($H470,'[1]Actual &amp; PO  Analysis 2020'!$A$4:$BP$300,68,0),"")</f>
        <v/>
      </c>
      <c r="K470" s="24" t="str">
        <f>IFERROR(VLOOKUP($H470,'[1]Actual &amp; PO  Analysis 2020'!$A$4:$BV$300,74,0),"")</f>
        <v/>
      </c>
      <c r="L470" s="24" t="str">
        <f>IFERROR(VLOOKUP($H470,'[1]Actual &amp; PO  Analysis 2020'!$A$4:$CB$300,80,0),"")</f>
        <v/>
      </c>
      <c r="M470" s="24" t="str">
        <f>IFERROR(VLOOKUP($H470,'[1]Actual &amp; PO  Analysis 2020'!$A$4:$CH$300,86,0),"")</f>
        <v/>
      </c>
      <c r="N470" s="25">
        <v>0</v>
      </c>
    </row>
    <row r="471" spans="1:14" x14ac:dyDescent="0.25">
      <c r="A471" s="11" t="s">
        <v>16</v>
      </c>
      <c r="B471" s="17">
        <v>0</v>
      </c>
      <c r="C471" s="17">
        <v>1</v>
      </c>
      <c r="D471" s="17">
        <v>1.7670000000000001</v>
      </c>
      <c r="E471" s="17">
        <v>0.1</v>
      </c>
      <c r="F471" s="17">
        <v>0.8</v>
      </c>
      <c r="G471" s="22">
        <f t="shared" si="7"/>
        <v>3.6670000000000007</v>
      </c>
      <c r="H471" s="11" t="s">
        <v>221</v>
      </c>
      <c r="I471" s="24" t="str">
        <f>IFERROR(VLOOKUP($H471,'[1]Actual &amp; PO  Analysis 2020'!$A$4:$BJ$300,62,0),"")</f>
        <v/>
      </c>
      <c r="J471" s="24" t="str">
        <f>IFERROR(VLOOKUP($H471,'[1]Actual &amp; PO  Analysis 2020'!$A$4:$BP$300,68,0),"")</f>
        <v/>
      </c>
      <c r="K471" s="24" t="str">
        <f>IFERROR(VLOOKUP($H471,'[1]Actual &amp; PO  Analysis 2020'!$A$4:$BV$300,74,0),"")</f>
        <v/>
      </c>
      <c r="L471" s="24" t="str">
        <f>IFERROR(VLOOKUP($H471,'[1]Actual &amp; PO  Analysis 2020'!$A$4:$CB$300,80,0),"")</f>
        <v/>
      </c>
      <c r="M471" s="24" t="str">
        <f>IFERROR(VLOOKUP($H471,'[1]Actual &amp; PO  Analysis 2020'!$A$4:$CH$300,86,0),"")</f>
        <v/>
      </c>
      <c r="N471" s="25">
        <v>0</v>
      </c>
    </row>
    <row r="472" spans="1:14" x14ac:dyDescent="0.25">
      <c r="A472" s="11" t="s">
        <v>17</v>
      </c>
      <c r="B472" s="17">
        <v>0</v>
      </c>
      <c r="C472" s="17">
        <v>1.08</v>
      </c>
      <c r="D472" s="17">
        <v>2.13</v>
      </c>
      <c r="E472" s="17">
        <v>0.1</v>
      </c>
      <c r="F472" s="17">
        <v>0.65700000000000003</v>
      </c>
      <c r="G472" s="22">
        <f t="shared" si="7"/>
        <v>3.9670000000000001</v>
      </c>
      <c r="H472" s="11" t="s">
        <v>346</v>
      </c>
      <c r="I472" s="24" t="str">
        <f>IFERROR(VLOOKUP($H472,'[1]Actual &amp; PO  Analysis 2020'!$A$4:$BJ$300,62,0),"")</f>
        <v/>
      </c>
      <c r="J472" s="24" t="str">
        <f>IFERROR(VLOOKUP($H472,'[1]Actual &amp; PO  Analysis 2020'!$A$4:$BP$300,68,0),"")</f>
        <v/>
      </c>
      <c r="K472" s="24" t="str">
        <f>IFERROR(VLOOKUP($H472,'[1]Actual &amp; PO  Analysis 2020'!$A$4:$BV$300,74,0),"")</f>
        <v/>
      </c>
      <c r="L472" s="24" t="str">
        <f>IFERROR(VLOOKUP($H472,'[1]Actual &amp; PO  Analysis 2020'!$A$4:$CB$300,80,0),"")</f>
        <v/>
      </c>
      <c r="M472" s="24" t="str">
        <f>IFERROR(VLOOKUP($H472,'[1]Actual &amp; PO  Analysis 2020'!$A$4:$CH$300,86,0),"")</f>
        <v/>
      </c>
      <c r="N472" s="25">
        <v>0</v>
      </c>
    </row>
    <row r="473" spans="1:14" x14ac:dyDescent="0.25">
      <c r="A473" s="11" t="s">
        <v>106</v>
      </c>
      <c r="B473" s="17">
        <v>0.45</v>
      </c>
      <c r="C473" s="17">
        <v>2.4</v>
      </c>
      <c r="D473" s="17">
        <v>2.09</v>
      </c>
      <c r="E473" s="17">
        <v>0.1</v>
      </c>
      <c r="F473" s="17">
        <v>0.68</v>
      </c>
      <c r="G473" s="22">
        <f t="shared" si="7"/>
        <v>5.7199999999999989</v>
      </c>
      <c r="H473" s="11" t="s">
        <v>191</v>
      </c>
      <c r="I473" s="24">
        <f>IFERROR(VLOOKUP($H473,'[1]Actual &amp; PO  Analysis 2020'!$A$4:$BJ$300,62,0),"")</f>
        <v>1.1659999999999999</v>
      </c>
      <c r="J473" s="24">
        <f>IFERROR(VLOOKUP($H473,'[1]Actual &amp; PO  Analysis 2020'!$A$4:$BP$300,68,0),"")</f>
        <v>0.48199999999999998</v>
      </c>
      <c r="K473" s="24">
        <f>IFERROR(VLOOKUP($H473,'[1]Actual &amp; PO  Analysis 2020'!$A$4:$BV$300,74,0),"")</f>
        <v>5.1475</v>
      </c>
      <c r="L473" s="24">
        <f>IFERROR(VLOOKUP($H473,'[1]Actual &amp; PO  Analysis 2020'!$A$4:$CB$300,80,0),"")</f>
        <v>0.19500000000000001</v>
      </c>
      <c r="M473" s="24">
        <f>IFERROR(VLOOKUP($H473,'[1]Actual &amp; PO  Analysis 2020'!$A$4:$CH$300,86,0),"")</f>
        <v>1.9435</v>
      </c>
      <c r="N473" s="25">
        <v>6.3320000000000007</v>
      </c>
    </row>
    <row r="474" spans="1:14" x14ac:dyDescent="0.25">
      <c r="A474" s="11" t="s">
        <v>109</v>
      </c>
      <c r="B474" s="17">
        <v>0.9</v>
      </c>
      <c r="C474" s="17">
        <v>2.4</v>
      </c>
      <c r="D474" s="17">
        <v>2.02</v>
      </c>
      <c r="E474" s="17">
        <v>0.1</v>
      </c>
      <c r="F474" s="17">
        <v>0.74</v>
      </c>
      <c r="G474" s="22">
        <f t="shared" si="7"/>
        <v>6.16</v>
      </c>
      <c r="H474" s="11" t="s">
        <v>15</v>
      </c>
      <c r="I474" s="24">
        <f>IFERROR(VLOOKUP($H474,'[1]Actual &amp; PO  Analysis 2020'!$A$4:$BJ$300,62,0),"")</f>
        <v>0.62</v>
      </c>
      <c r="J474" s="24">
        <f>IFERROR(VLOOKUP($H474,'[1]Actual &amp; PO  Analysis 2020'!$A$4:$BP$300,68,0),"")</f>
        <v>0.622</v>
      </c>
      <c r="K474" s="24">
        <f>IFERROR(VLOOKUP($H474,'[1]Actual &amp; PO  Analysis 2020'!$A$4:$BV$300,74,0),"")</f>
        <v>7.0730000000000004</v>
      </c>
      <c r="L474" s="24">
        <f>IFERROR(VLOOKUP($H474,'[1]Actual &amp; PO  Analysis 2020'!$A$4:$CB$300,80,0),"")</f>
        <v>0.16599999999999998</v>
      </c>
      <c r="M474" s="24">
        <f>IFERROR(VLOOKUP($H474,'[1]Actual &amp; PO  Analysis 2020'!$A$4:$CH$300,86,0),"")</f>
        <v>1.4555</v>
      </c>
      <c r="N474" s="25">
        <v>5.6950000000000003</v>
      </c>
    </row>
    <row r="475" spans="1:14" x14ac:dyDescent="0.25">
      <c r="A475" s="11" t="s">
        <v>107</v>
      </c>
      <c r="B475" s="17">
        <v>0.45</v>
      </c>
      <c r="C475" s="17">
        <v>2.16</v>
      </c>
      <c r="D475" s="17">
        <v>2.0300000000000002</v>
      </c>
      <c r="E475" s="17">
        <v>0.1</v>
      </c>
      <c r="F475" s="17">
        <v>0.68</v>
      </c>
      <c r="G475" s="22">
        <f t="shared" si="7"/>
        <v>5.42</v>
      </c>
      <c r="H475" s="11" t="s">
        <v>16</v>
      </c>
      <c r="I475" s="24" t="str">
        <f>IFERROR(VLOOKUP($H475,'[1]Actual &amp; PO  Analysis 2020'!$A$4:$BJ$300,62,0),"")</f>
        <v/>
      </c>
      <c r="J475" s="24" t="str">
        <f>IFERROR(VLOOKUP($H475,'[1]Actual &amp; PO  Analysis 2020'!$A$4:$BP$300,68,0),"")</f>
        <v/>
      </c>
      <c r="K475" s="24" t="str">
        <f>IFERROR(VLOOKUP($H475,'[1]Actual &amp; PO  Analysis 2020'!$A$4:$BV$300,74,0),"")</f>
        <v/>
      </c>
      <c r="L475" s="24" t="str">
        <f>IFERROR(VLOOKUP($H475,'[1]Actual &amp; PO  Analysis 2020'!$A$4:$CB$300,80,0),"")</f>
        <v/>
      </c>
      <c r="M475" s="24" t="str">
        <f>IFERROR(VLOOKUP($H475,'[1]Actual &amp; PO  Analysis 2020'!$A$4:$CH$300,86,0),"")</f>
        <v/>
      </c>
      <c r="N475" s="25">
        <v>0</v>
      </c>
    </row>
    <row r="476" spans="1:14" x14ac:dyDescent="0.25">
      <c r="A476" s="11" t="s">
        <v>108</v>
      </c>
      <c r="B476" s="17">
        <v>0</v>
      </c>
      <c r="C476" s="17">
        <v>2.93</v>
      </c>
      <c r="D476" s="17">
        <v>2.0300000000000002</v>
      </c>
      <c r="E476" s="17">
        <v>0.1</v>
      </c>
      <c r="F476" s="17">
        <v>0.74</v>
      </c>
      <c r="G476" s="22">
        <f t="shared" si="7"/>
        <v>5.8000000000000007</v>
      </c>
      <c r="H476" s="11" t="s">
        <v>17</v>
      </c>
      <c r="I476" s="24" t="str">
        <f>IFERROR(VLOOKUP($H476,'[1]Actual &amp; PO  Analysis 2020'!$A$4:$BJ$300,62,0),"")</f>
        <v/>
      </c>
      <c r="J476" s="24" t="str">
        <f>IFERROR(VLOOKUP($H476,'[1]Actual &amp; PO  Analysis 2020'!$A$4:$BP$300,68,0),"")</f>
        <v/>
      </c>
      <c r="K476" s="24" t="str">
        <f>IFERROR(VLOOKUP($H476,'[1]Actual &amp; PO  Analysis 2020'!$A$4:$BV$300,74,0),"")</f>
        <v/>
      </c>
      <c r="L476" s="24" t="str">
        <f>IFERROR(VLOOKUP($H476,'[1]Actual &amp; PO  Analysis 2020'!$A$4:$CB$300,80,0),"")</f>
        <v/>
      </c>
      <c r="M476" s="24" t="str">
        <f>IFERROR(VLOOKUP($H476,'[1]Actual &amp; PO  Analysis 2020'!$A$4:$CH$300,86,0),"")</f>
        <v/>
      </c>
      <c r="N476" s="25">
        <v>0</v>
      </c>
    </row>
    <row r="477" spans="1:14" x14ac:dyDescent="0.25">
      <c r="A477" s="11" t="s">
        <v>111</v>
      </c>
      <c r="B477" s="17">
        <v>0</v>
      </c>
      <c r="C477" s="17">
        <v>2.9289999999999998</v>
      </c>
      <c r="D477" s="17">
        <v>2.3899999999999997</v>
      </c>
      <c r="E477" s="17">
        <v>0.126</v>
      </c>
      <c r="F477" s="17">
        <v>0.85499999999999998</v>
      </c>
      <c r="G477" s="22">
        <f t="shared" si="7"/>
        <v>6.2999999999999989</v>
      </c>
      <c r="H477" s="11" t="s">
        <v>106</v>
      </c>
      <c r="I477" s="24" t="str">
        <f>IFERROR(VLOOKUP($H477,'[1]Actual &amp; PO  Analysis 2020'!$A$4:$BJ$300,62,0),"")</f>
        <v/>
      </c>
      <c r="J477" s="24" t="str">
        <f>IFERROR(VLOOKUP($H477,'[1]Actual &amp; PO  Analysis 2020'!$A$4:$BP$300,68,0),"")</f>
        <v/>
      </c>
      <c r="K477" s="24" t="str">
        <f>IFERROR(VLOOKUP($H477,'[1]Actual &amp; PO  Analysis 2020'!$A$4:$BV$300,74,0),"")</f>
        <v/>
      </c>
      <c r="L477" s="24" t="str">
        <f>IFERROR(VLOOKUP($H477,'[1]Actual &amp; PO  Analysis 2020'!$A$4:$CB$300,80,0),"")</f>
        <v/>
      </c>
      <c r="M477" s="24" t="str">
        <f>IFERROR(VLOOKUP($H477,'[1]Actual &amp; PO  Analysis 2020'!$A$4:$CH$300,86,0),"")</f>
        <v/>
      </c>
      <c r="N477" s="25">
        <v>0</v>
      </c>
    </row>
    <row r="478" spans="1:14" x14ac:dyDescent="0.25">
      <c r="A478" s="11" t="s">
        <v>193</v>
      </c>
      <c r="B478" s="17">
        <v>0</v>
      </c>
      <c r="C478" s="17">
        <v>3.19</v>
      </c>
      <c r="D478" s="17">
        <v>4.91</v>
      </c>
      <c r="E478" s="17">
        <v>0.1</v>
      </c>
      <c r="F478" s="17">
        <v>0.97</v>
      </c>
      <c r="G478" s="22">
        <f t="shared" si="7"/>
        <v>9.17</v>
      </c>
      <c r="H478" s="11" t="s">
        <v>109</v>
      </c>
      <c r="I478" s="24" t="str">
        <f>IFERROR(VLOOKUP($H478,'[1]Actual &amp; PO  Analysis 2020'!$A$4:$BJ$300,62,0),"")</f>
        <v/>
      </c>
      <c r="J478" s="24" t="str">
        <f>IFERROR(VLOOKUP($H478,'[1]Actual &amp; PO  Analysis 2020'!$A$4:$BP$300,68,0),"")</f>
        <v/>
      </c>
      <c r="K478" s="24" t="str">
        <f>IFERROR(VLOOKUP($H478,'[1]Actual &amp; PO  Analysis 2020'!$A$4:$BV$300,74,0),"")</f>
        <v/>
      </c>
      <c r="L478" s="24" t="str">
        <f>IFERROR(VLOOKUP($H478,'[1]Actual &amp; PO  Analysis 2020'!$A$4:$CB$300,80,0),"")</f>
        <v/>
      </c>
      <c r="M478" s="24" t="str">
        <f>IFERROR(VLOOKUP($H478,'[1]Actual &amp; PO  Analysis 2020'!$A$4:$CH$300,86,0),"")</f>
        <v/>
      </c>
      <c r="N478" s="25">
        <v>0</v>
      </c>
    </row>
    <row r="479" spans="1:14" x14ac:dyDescent="0.25">
      <c r="A479" s="11" t="s">
        <v>195</v>
      </c>
      <c r="B479" s="17">
        <v>0</v>
      </c>
      <c r="C479" s="17">
        <v>3.24</v>
      </c>
      <c r="D479" s="17">
        <v>4.91</v>
      </c>
      <c r="E479" s="17">
        <v>0.1</v>
      </c>
      <c r="F479" s="17">
        <v>0.97</v>
      </c>
      <c r="G479" s="22">
        <f t="shared" si="7"/>
        <v>9.2200000000000006</v>
      </c>
      <c r="H479" s="11" t="s">
        <v>107</v>
      </c>
      <c r="I479" s="24" t="str">
        <f>IFERROR(VLOOKUP($H479,'[1]Actual &amp; PO  Analysis 2020'!$A$4:$BJ$300,62,0),"")</f>
        <v/>
      </c>
      <c r="J479" s="24" t="str">
        <f>IFERROR(VLOOKUP($H479,'[1]Actual &amp; PO  Analysis 2020'!$A$4:$BP$300,68,0),"")</f>
        <v/>
      </c>
      <c r="K479" s="24" t="str">
        <f>IFERROR(VLOOKUP($H479,'[1]Actual &amp; PO  Analysis 2020'!$A$4:$BV$300,74,0),"")</f>
        <v/>
      </c>
      <c r="L479" s="24" t="str">
        <f>IFERROR(VLOOKUP($H479,'[1]Actual &amp; PO  Analysis 2020'!$A$4:$CB$300,80,0),"")</f>
        <v/>
      </c>
      <c r="M479" s="24" t="str">
        <f>IFERROR(VLOOKUP($H479,'[1]Actual &amp; PO  Analysis 2020'!$A$4:$CH$300,86,0),"")</f>
        <v/>
      </c>
      <c r="N479" s="25">
        <v>0</v>
      </c>
    </row>
    <row r="480" spans="1:14" x14ac:dyDescent="0.25">
      <c r="A480" s="11" t="s">
        <v>202</v>
      </c>
      <c r="B480" s="17">
        <v>0</v>
      </c>
      <c r="C480" s="17">
        <v>4.8600000000000003</v>
      </c>
      <c r="D480" s="17">
        <v>5.8100000000000005</v>
      </c>
      <c r="E480" s="17">
        <v>0.1</v>
      </c>
      <c r="F480" s="17">
        <v>0.97</v>
      </c>
      <c r="G480" s="22">
        <f t="shared" si="7"/>
        <v>11.740000000000002</v>
      </c>
      <c r="H480" s="11" t="s">
        <v>108</v>
      </c>
      <c r="I480" s="24" t="str">
        <f>IFERROR(VLOOKUP($H480,'[1]Actual &amp; PO  Analysis 2020'!$A$4:$BJ$300,62,0),"")</f>
        <v/>
      </c>
      <c r="J480" s="24" t="str">
        <f>IFERROR(VLOOKUP($H480,'[1]Actual &amp; PO  Analysis 2020'!$A$4:$BP$300,68,0),"")</f>
        <v/>
      </c>
      <c r="K480" s="24" t="str">
        <f>IFERROR(VLOOKUP($H480,'[1]Actual &amp; PO  Analysis 2020'!$A$4:$BV$300,74,0),"")</f>
        <v/>
      </c>
      <c r="L480" s="24" t="str">
        <f>IFERROR(VLOOKUP($H480,'[1]Actual &amp; PO  Analysis 2020'!$A$4:$CB$300,80,0),"")</f>
        <v/>
      </c>
      <c r="M480" s="24" t="str">
        <f>IFERROR(VLOOKUP($H480,'[1]Actual &amp; PO  Analysis 2020'!$A$4:$CH$300,86,0),"")</f>
        <v/>
      </c>
      <c r="N480" s="25">
        <v>0</v>
      </c>
    </row>
    <row r="481" spans="1:14" x14ac:dyDescent="0.25">
      <c r="A481" s="11" t="s">
        <v>194</v>
      </c>
      <c r="B481" s="17">
        <v>0</v>
      </c>
      <c r="C481" s="17">
        <v>3.38</v>
      </c>
      <c r="D481" s="17">
        <v>4.91</v>
      </c>
      <c r="E481" s="17">
        <v>0.1</v>
      </c>
      <c r="F481" s="17">
        <v>0.97</v>
      </c>
      <c r="G481" s="22">
        <f t="shared" si="7"/>
        <v>9.36</v>
      </c>
      <c r="H481" s="11" t="s">
        <v>111</v>
      </c>
      <c r="I481" s="24" t="str">
        <f>IFERROR(VLOOKUP($H481,'[1]Actual &amp; PO  Analysis 2020'!$A$4:$BJ$300,62,0),"")</f>
        <v/>
      </c>
      <c r="J481" s="24" t="str">
        <f>IFERROR(VLOOKUP($H481,'[1]Actual &amp; PO  Analysis 2020'!$A$4:$BP$300,68,0),"")</f>
        <v/>
      </c>
      <c r="K481" s="24" t="str">
        <f>IFERROR(VLOOKUP($H481,'[1]Actual &amp; PO  Analysis 2020'!$A$4:$BV$300,74,0),"")</f>
        <v/>
      </c>
      <c r="L481" s="24" t="str">
        <f>IFERROR(VLOOKUP($H481,'[1]Actual &amp; PO  Analysis 2020'!$A$4:$CB$300,80,0),"")</f>
        <v/>
      </c>
      <c r="M481" s="24" t="str">
        <f>IFERROR(VLOOKUP($H481,'[1]Actual &amp; PO  Analysis 2020'!$A$4:$CH$300,86,0),"")</f>
        <v/>
      </c>
      <c r="N481" s="25">
        <v>0</v>
      </c>
    </row>
    <row r="482" spans="1:14" x14ac:dyDescent="0.25">
      <c r="A482" s="11" t="s">
        <v>119</v>
      </c>
      <c r="B482" s="17">
        <v>0</v>
      </c>
      <c r="C482" s="17">
        <v>1.389</v>
      </c>
      <c r="D482" s="17">
        <v>2.286</v>
      </c>
      <c r="E482" s="17">
        <v>0.112</v>
      </c>
      <c r="F482" s="17">
        <v>0.84</v>
      </c>
      <c r="G482" s="22">
        <f t="shared" si="7"/>
        <v>4.6269999999999998</v>
      </c>
      <c r="H482" s="11" t="s">
        <v>193</v>
      </c>
      <c r="I482" s="24" t="str">
        <f>IFERROR(VLOOKUP($H482,'[1]Actual &amp; PO  Analysis 2020'!$A$4:$BJ$300,62,0),"")</f>
        <v/>
      </c>
      <c r="J482" s="24" t="str">
        <f>IFERROR(VLOOKUP($H482,'[1]Actual &amp; PO  Analysis 2020'!$A$4:$BP$300,68,0),"")</f>
        <v/>
      </c>
      <c r="K482" s="24" t="str">
        <f>IFERROR(VLOOKUP($H482,'[1]Actual &amp; PO  Analysis 2020'!$A$4:$BV$300,74,0),"")</f>
        <v/>
      </c>
      <c r="L482" s="24" t="str">
        <f>IFERROR(VLOOKUP($H482,'[1]Actual &amp; PO  Analysis 2020'!$A$4:$CB$300,80,0),"")</f>
        <v/>
      </c>
      <c r="M482" s="24" t="str">
        <f>IFERROR(VLOOKUP($H482,'[1]Actual &amp; PO  Analysis 2020'!$A$4:$CH$300,86,0),"")</f>
        <v/>
      </c>
      <c r="N482" s="25">
        <v>0</v>
      </c>
    </row>
    <row r="483" spans="1:14" x14ac:dyDescent="0.25">
      <c r="A483" s="11" t="s">
        <v>120</v>
      </c>
      <c r="B483" s="17">
        <v>0</v>
      </c>
      <c r="C483" s="17">
        <v>1.897</v>
      </c>
      <c r="D483" s="17">
        <v>2.1230000000000002</v>
      </c>
      <c r="E483" s="17">
        <v>0.107</v>
      </c>
      <c r="F483" s="17">
        <v>0.80400000000000005</v>
      </c>
      <c r="G483" s="22">
        <f t="shared" si="7"/>
        <v>4.9310000000000009</v>
      </c>
      <c r="H483" s="11" t="s">
        <v>195</v>
      </c>
      <c r="I483" s="24" t="str">
        <f>IFERROR(VLOOKUP($H483,'[1]Actual &amp; PO  Analysis 2020'!$A$4:$BJ$300,62,0),"")</f>
        <v/>
      </c>
      <c r="J483" s="24" t="str">
        <f>IFERROR(VLOOKUP($H483,'[1]Actual &amp; PO  Analysis 2020'!$A$4:$BP$300,68,0),"")</f>
        <v/>
      </c>
      <c r="K483" s="24" t="str">
        <f>IFERROR(VLOOKUP($H483,'[1]Actual &amp; PO  Analysis 2020'!$A$4:$BV$300,74,0),"")</f>
        <v/>
      </c>
      <c r="L483" s="24" t="str">
        <f>IFERROR(VLOOKUP($H483,'[1]Actual &amp; PO  Analysis 2020'!$A$4:$CB$300,80,0),"")</f>
        <v/>
      </c>
      <c r="M483" s="24" t="str">
        <f>IFERROR(VLOOKUP($H483,'[1]Actual &amp; PO  Analysis 2020'!$A$4:$CH$300,86,0),"")</f>
        <v/>
      </c>
      <c r="N483" s="25">
        <v>0</v>
      </c>
    </row>
    <row r="484" spans="1:14" x14ac:dyDescent="0.25">
      <c r="A484" s="11" t="s">
        <v>127</v>
      </c>
      <c r="B484" s="17">
        <v>0</v>
      </c>
      <c r="C484" s="17">
        <v>2.0550000000000002</v>
      </c>
      <c r="D484" s="17">
        <v>2.5249999999999999</v>
      </c>
      <c r="E484" s="17">
        <v>0.112</v>
      </c>
      <c r="F484" s="17">
        <v>0.83799999999999997</v>
      </c>
      <c r="G484" s="22">
        <f t="shared" si="7"/>
        <v>5.53</v>
      </c>
      <c r="H484" s="11" t="s">
        <v>202</v>
      </c>
      <c r="I484" s="24" t="str">
        <f>IFERROR(VLOOKUP($H484,'[1]Actual &amp; PO  Analysis 2020'!$A$4:$BJ$300,62,0),"")</f>
        <v/>
      </c>
      <c r="J484" s="24" t="str">
        <f>IFERROR(VLOOKUP($H484,'[1]Actual &amp; PO  Analysis 2020'!$A$4:$BP$300,68,0),"")</f>
        <v/>
      </c>
      <c r="K484" s="24" t="str">
        <f>IFERROR(VLOOKUP($H484,'[1]Actual &amp; PO  Analysis 2020'!$A$4:$BV$300,74,0),"")</f>
        <v/>
      </c>
      <c r="L484" s="24" t="str">
        <f>IFERROR(VLOOKUP($H484,'[1]Actual &amp; PO  Analysis 2020'!$A$4:$CB$300,80,0),"")</f>
        <v/>
      </c>
      <c r="M484" s="24" t="str">
        <f>IFERROR(VLOOKUP($H484,'[1]Actual &amp; PO  Analysis 2020'!$A$4:$CH$300,86,0),"")</f>
        <v/>
      </c>
      <c r="N484" s="25">
        <v>0</v>
      </c>
    </row>
    <row r="485" spans="1:14" x14ac:dyDescent="0.25">
      <c r="A485" s="11" t="s">
        <v>124</v>
      </c>
      <c r="B485" s="17">
        <v>0.47</v>
      </c>
      <c r="C485" s="17">
        <v>0.6</v>
      </c>
      <c r="D485" s="17">
        <v>1.91</v>
      </c>
      <c r="E485" s="17">
        <v>0.1</v>
      </c>
      <c r="F485" s="17">
        <v>0.75</v>
      </c>
      <c r="G485" s="22">
        <f t="shared" si="7"/>
        <v>3.8299999999999996</v>
      </c>
      <c r="H485" s="11" t="s">
        <v>194</v>
      </c>
      <c r="I485" s="24" t="str">
        <f>IFERROR(VLOOKUP($H485,'[1]Actual &amp; PO  Analysis 2020'!$A$4:$BJ$300,62,0),"")</f>
        <v/>
      </c>
      <c r="J485" s="24" t="str">
        <f>IFERROR(VLOOKUP($H485,'[1]Actual &amp; PO  Analysis 2020'!$A$4:$BP$300,68,0),"")</f>
        <v/>
      </c>
      <c r="K485" s="24" t="str">
        <f>IFERROR(VLOOKUP($H485,'[1]Actual &amp; PO  Analysis 2020'!$A$4:$BV$300,74,0),"")</f>
        <v/>
      </c>
      <c r="L485" s="24" t="str">
        <f>IFERROR(VLOOKUP($H485,'[1]Actual &amp; PO  Analysis 2020'!$A$4:$CB$300,80,0),"")</f>
        <v/>
      </c>
      <c r="M485" s="24" t="str">
        <f>IFERROR(VLOOKUP($H485,'[1]Actual &amp; PO  Analysis 2020'!$A$4:$CH$300,86,0),"")</f>
        <v/>
      </c>
      <c r="N485" s="25">
        <v>0</v>
      </c>
    </row>
    <row r="486" spans="1:14" x14ac:dyDescent="0.25">
      <c r="A486" s="11" t="s">
        <v>129</v>
      </c>
      <c r="B486" s="17">
        <v>0.96</v>
      </c>
      <c r="C486" s="17">
        <v>0.53</v>
      </c>
      <c r="D486" s="17">
        <v>1.92</v>
      </c>
      <c r="E486" s="17">
        <v>0.1</v>
      </c>
      <c r="F486" s="17">
        <v>0.75</v>
      </c>
      <c r="G486" s="22">
        <f t="shared" si="7"/>
        <v>4.26</v>
      </c>
      <c r="H486" s="11" t="s">
        <v>119</v>
      </c>
      <c r="I486" s="24" t="str">
        <f>IFERROR(VLOOKUP($H486,'[1]Actual &amp; PO  Analysis 2020'!$A$4:$BJ$300,62,0),"")</f>
        <v/>
      </c>
      <c r="J486" s="24" t="str">
        <f>IFERROR(VLOOKUP($H486,'[1]Actual &amp; PO  Analysis 2020'!$A$4:$BP$300,68,0),"")</f>
        <v/>
      </c>
      <c r="K486" s="24" t="str">
        <f>IFERROR(VLOOKUP($H486,'[1]Actual &amp; PO  Analysis 2020'!$A$4:$BV$300,74,0),"")</f>
        <v/>
      </c>
      <c r="L486" s="24" t="str">
        <f>IFERROR(VLOOKUP($H486,'[1]Actual &amp; PO  Analysis 2020'!$A$4:$CB$300,80,0),"")</f>
        <v/>
      </c>
      <c r="M486" s="24" t="str">
        <f>IFERROR(VLOOKUP($H486,'[1]Actual &amp; PO  Analysis 2020'!$A$4:$CH$300,86,0),"")</f>
        <v/>
      </c>
      <c r="N486" s="25">
        <v>0</v>
      </c>
    </row>
    <row r="487" spans="1:14" x14ac:dyDescent="0.25">
      <c r="A487" s="11" t="s">
        <v>140</v>
      </c>
      <c r="B487" s="17">
        <v>0</v>
      </c>
      <c r="C487" s="17">
        <v>2.0369999999999999</v>
      </c>
      <c r="D487" s="17">
        <v>2.754</v>
      </c>
      <c r="E487" s="17">
        <v>0.14000000000000001</v>
      </c>
      <c r="F487" s="17">
        <v>1.04</v>
      </c>
      <c r="G487" s="22">
        <f t="shared" si="7"/>
        <v>5.9710000000000001</v>
      </c>
      <c r="H487" s="11" t="s">
        <v>120</v>
      </c>
      <c r="I487" s="24" t="str">
        <f>IFERROR(VLOOKUP($H487,'[1]Actual &amp; PO  Analysis 2020'!$A$4:$BJ$300,62,0),"")</f>
        <v/>
      </c>
      <c r="J487" s="24" t="str">
        <f>IFERROR(VLOOKUP($H487,'[1]Actual &amp; PO  Analysis 2020'!$A$4:$BP$300,68,0),"")</f>
        <v/>
      </c>
      <c r="K487" s="24" t="str">
        <f>IFERROR(VLOOKUP($H487,'[1]Actual &amp; PO  Analysis 2020'!$A$4:$BV$300,74,0),"")</f>
        <v/>
      </c>
      <c r="L487" s="24" t="str">
        <f>IFERROR(VLOOKUP($H487,'[1]Actual &amp; PO  Analysis 2020'!$A$4:$CB$300,80,0),"")</f>
        <v/>
      </c>
      <c r="M487" s="24" t="str">
        <f>IFERROR(VLOOKUP($H487,'[1]Actual &amp; PO  Analysis 2020'!$A$4:$CH$300,86,0),"")</f>
        <v/>
      </c>
      <c r="N487" s="25">
        <v>0</v>
      </c>
    </row>
    <row r="488" spans="1:14" x14ac:dyDescent="0.25">
      <c r="A488" s="11" t="s">
        <v>226</v>
      </c>
      <c r="B488" s="17">
        <v>0</v>
      </c>
      <c r="C488" s="17">
        <v>1.0900000000000001</v>
      </c>
      <c r="D488" s="17">
        <v>1.88</v>
      </c>
      <c r="E488" s="17">
        <v>0.1</v>
      </c>
      <c r="F488" s="17">
        <v>0.74</v>
      </c>
      <c r="G488" s="22">
        <f t="shared" si="7"/>
        <v>3.8099999999999996</v>
      </c>
      <c r="H488" s="11" t="s">
        <v>127</v>
      </c>
      <c r="I488" s="24" t="str">
        <f>IFERROR(VLOOKUP($H488,'[1]Actual &amp; PO  Analysis 2020'!$A$4:$BJ$300,62,0),"")</f>
        <v/>
      </c>
      <c r="J488" s="24" t="str">
        <f>IFERROR(VLOOKUP($H488,'[1]Actual &amp; PO  Analysis 2020'!$A$4:$BP$300,68,0),"")</f>
        <v/>
      </c>
      <c r="K488" s="24" t="str">
        <f>IFERROR(VLOOKUP($H488,'[1]Actual &amp; PO  Analysis 2020'!$A$4:$BV$300,74,0),"")</f>
        <v/>
      </c>
      <c r="L488" s="24" t="str">
        <f>IFERROR(VLOOKUP($H488,'[1]Actual &amp; PO  Analysis 2020'!$A$4:$CB$300,80,0),"")</f>
        <v/>
      </c>
      <c r="M488" s="24" t="str">
        <f>IFERROR(VLOOKUP($H488,'[1]Actual &amp; PO  Analysis 2020'!$A$4:$CH$300,86,0),"")</f>
        <v/>
      </c>
      <c r="N488" s="25">
        <v>0</v>
      </c>
    </row>
    <row r="489" spans="1:14" x14ac:dyDescent="0.25">
      <c r="A489" s="11" t="s">
        <v>141</v>
      </c>
      <c r="B489" s="17">
        <v>0</v>
      </c>
      <c r="C489" s="17">
        <v>3.0819999999999999</v>
      </c>
      <c r="D489" s="17">
        <v>3.4319999999999999</v>
      </c>
      <c r="E489" s="17">
        <v>0.159</v>
      </c>
      <c r="F489" s="17">
        <v>1.1910000000000001</v>
      </c>
      <c r="G489" s="22">
        <f t="shared" si="7"/>
        <v>7.863999999999999</v>
      </c>
      <c r="H489" s="11" t="s">
        <v>124</v>
      </c>
      <c r="I489" s="24" t="str">
        <f>IFERROR(VLOOKUP($H489,'[1]Actual &amp; PO  Analysis 2020'!$A$4:$BJ$300,62,0),"")</f>
        <v/>
      </c>
      <c r="J489" s="24" t="str">
        <f>IFERROR(VLOOKUP($H489,'[1]Actual &amp; PO  Analysis 2020'!$A$4:$BP$300,68,0),"")</f>
        <v/>
      </c>
      <c r="K489" s="24" t="str">
        <f>IFERROR(VLOOKUP($H489,'[1]Actual &amp; PO  Analysis 2020'!$A$4:$BV$300,74,0),"")</f>
        <v/>
      </c>
      <c r="L489" s="24" t="str">
        <f>IFERROR(VLOOKUP($H489,'[1]Actual &amp; PO  Analysis 2020'!$A$4:$CB$300,80,0),"")</f>
        <v/>
      </c>
      <c r="M489" s="24" t="str">
        <f>IFERROR(VLOOKUP($H489,'[1]Actual &amp; PO  Analysis 2020'!$A$4:$CH$300,86,0),"")</f>
        <v/>
      </c>
      <c r="N489" s="25">
        <v>0</v>
      </c>
    </row>
    <row r="490" spans="1:14" x14ac:dyDescent="0.25">
      <c r="A490" s="11" t="s">
        <v>137</v>
      </c>
      <c r="B490" s="17">
        <v>0</v>
      </c>
      <c r="C490" s="17">
        <v>1.6619999999999999</v>
      </c>
      <c r="D490" s="17">
        <v>2.17</v>
      </c>
      <c r="E490" s="17">
        <v>0.111</v>
      </c>
      <c r="F490" s="17">
        <v>0.82</v>
      </c>
      <c r="G490" s="22">
        <f t="shared" si="7"/>
        <v>4.7629999999999999</v>
      </c>
      <c r="H490" s="11" t="s">
        <v>129</v>
      </c>
      <c r="I490" s="24" t="str">
        <f>IFERROR(VLOOKUP($H490,'[1]Actual &amp; PO  Analysis 2020'!$A$4:$BJ$300,62,0),"")</f>
        <v/>
      </c>
      <c r="J490" s="24" t="str">
        <f>IFERROR(VLOOKUP($H490,'[1]Actual &amp; PO  Analysis 2020'!$A$4:$BP$300,68,0),"")</f>
        <v/>
      </c>
      <c r="K490" s="24" t="str">
        <f>IFERROR(VLOOKUP($H490,'[1]Actual &amp; PO  Analysis 2020'!$A$4:$BV$300,74,0),"")</f>
        <v/>
      </c>
      <c r="L490" s="24" t="str">
        <f>IFERROR(VLOOKUP($H490,'[1]Actual &amp; PO  Analysis 2020'!$A$4:$CB$300,80,0),"")</f>
        <v/>
      </c>
      <c r="M490" s="24" t="str">
        <f>IFERROR(VLOOKUP($H490,'[1]Actual &amp; PO  Analysis 2020'!$A$4:$CH$300,86,0),"")</f>
        <v/>
      </c>
      <c r="N490" s="25">
        <v>0</v>
      </c>
    </row>
    <row r="491" spans="1:14" x14ac:dyDescent="0.25">
      <c r="A491" s="11" t="s">
        <v>145</v>
      </c>
      <c r="B491" s="17">
        <v>0</v>
      </c>
      <c r="C491" s="17">
        <v>1.47</v>
      </c>
      <c r="D491" s="17">
        <v>1.9099999999999997</v>
      </c>
      <c r="E491" s="17">
        <v>0.1</v>
      </c>
      <c r="F491" s="17">
        <v>0.82</v>
      </c>
      <c r="G491" s="22">
        <f t="shared" si="7"/>
        <v>4.3</v>
      </c>
      <c r="H491" s="11" t="s">
        <v>140</v>
      </c>
      <c r="I491" s="24">
        <f>IFERROR(VLOOKUP($H491,'[1]Actual &amp; PO  Analysis 2020'!$A$4:$BJ$300,62,0),"")</f>
        <v>0.65599999999999992</v>
      </c>
      <c r="J491" s="24">
        <f>IFERROR(VLOOKUP($H491,'[1]Actual &amp; PO  Analysis 2020'!$A$4:$BP$300,68,0),"")</f>
        <v>0.4355</v>
      </c>
      <c r="K491" s="24">
        <f>IFERROR(VLOOKUP($H491,'[1]Actual &amp; PO  Analysis 2020'!$A$4:$BV$300,74,0),"")</f>
        <v>5.5545</v>
      </c>
      <c r="L491" s="24">
        <f>IFERROR(VLOOKUP($H491,'[1]Actual &amp; PO  Analysis 2020'!$A$4:$CB$300,80,0),"")</f>
        <v>0.187</v>
      </c>
      <c r="M491" s="24">
        <f>IFERROR(VLOOKUP($H491,'[1]Actual &amp; PO  Analysis 2020'!$A$4:$CH$300,86,0),"")</f>
        <v>1.5505</v>
      </c>
      <c r="N491" s="25">
        <v>6.4099999999999993</v>
      </c>
    </row>
    <row r="492" spans="1:14" x14ac:dyDescent="0.25">
      <c r="A492" s="11" t="s">
        <v>146</v>
      </c>
      <c r="B492" s="17">
        <v>0</v>
      </c>
      <c r="C492" s="17">
        <v>0.92600000000000005</v>
      </c>
      <c r="D492" s="17">
        <v>1</v>
      </c>
      <c r="E492" s="17">
        <v>4.9000000000000002E-2</v>
      </c>
      <c r="F492" s="17">
        <v>0.33600000000000002</v>
      </c>
      <c r="G492" s="22">
        <f t="shared" si="7"/>
        <v>2.3109999999999999</v>
      </c>
      <c r="H492" s="11" t="s">
        <v>226</v>
      </c>
      <c r="I492" s="24" t="str">
        <f>IFERROR(VLOOKUP($H492,'[1]Actual &amp; PO  Analysis 2020'!$A$4:$BJ$300,62,0),"")</f>
        <v/>
      </c>
      <c r="J492" s="24" t="str">
        <f>IFERROR(VLOOKUP($H492,'[1]Actual &amp; PO  Analysis 2020'!$A$4:$BP$300,68,0),"")</f>
        <v/>
      </c>
      <c r="K492" s="24" t="str">
        <f>IFERROR(VLOOKUP($H492,'[1]Actual &amp; PO  Analysis 2020'!$A$4:$BV$300,74,0),"")</f>
        <v/>
      </c>
      <c r="L492" s="24" t="str">
        <f>IFERROR(VLOOKUP($H492,'[1]Actual &amp; PO  Analysis 2020'!$A$4:$CB$300,80,0),"")</f>
        <v/>
      </c>
      <c r="M492" s="24" t="str">
        <f>IFERROR(VLOOKUP($H492,'[1]Actual &amp; PO  Analysis 2020'!$A$4:$CH$300,86,0),"")</f>
        <v/>
      </c>
      <c r="N492" s="25">
        <v>0</v>
      </c>
    </row>
    <row r="493" spans="1:14" x14ac:dyDescent="0.25">
      <c r="A493" s="11" t="s">
        <v>147</v>
      </c>
      <c r="B493" s="17">
        <v>0</v>
      </c>
      <c r="C493" s="17">
        <v>1.4550000000000001</v>
      </c>
      <c r="D493" s="17">
        <v>2.1260000000000003</v>
      </c>
      <c r="E493" s="17">
        <v>0.112</v>
      </c>
      <c r="F493" s="17">
        <v>0.90700000000000003</v>
      </c>
      <c r="G493" s="22">
        <f t="shared" si="7"/>
        <v>4.6000000000000005</v>
      </c>
      <c r="H493" s="11" t="s">
        <v>141</v>
      </c>
      <c r="I493" s="24">
        <f>IFERROR(VLOOKUP($H493,'[1]Actual &amp; PO  Analysis 2020'!$A$4:$BJ$300,62,0),"")</f>
        <v>1.097</v>
      </c>
      <c r="J493" s="24">
        <f>IFERROR(VLOOKUP($H493,'[1]Actual &amp; PO  Analysis 2020'!$A$4:$BP$300,68,0),"")</f>
        <v>0.99299999999999999</v>
      </c>
      <c r="K493" s="24">
        <f>IFERROR(VLOOKUP($H493,'[1]Actual &amp; PO  Analysis 2020'!$A$4:$BV$300,74,0),"")</f>
        <v>5.0940000000000003</v>
      </c>
      <c r="L493" s="24">
        <f>IFERROR(VLOOKUP($H493,'[1]Actual &amp; PO  Analysis 2020'!$A$4:$CB$300,80,0),"")</f>
        <v>0.16700000000000001</v>
      </c>
      <c r="M493" s="24">
        <f>IFERROR(VLOOKUP($H493,'[1]Actual &amp; PO  Analysis 2020'!$A$4:$CH$300,86,0),"")</f>
        <v>1.3959999999999999</v>
      </c>
      <c r="N493" s="25">
        <v>5.91</v>
      </c>
    </row>
    <row r="494" spans="1:14" x14ac:dyDescent="0.25">
      <c r="A494" s="11" t="s">
        <v>196</v>
      </c>
      <c r="B494" s="17">
        <v>0</v>
      </c>
      <c r="C494" s="17">
        <v>2.25</v>
      </c>
      <c r="D494" s="17">
        <v>3.6500000000000004</v>
      </c>
      <c r="E494" s="17">
        <v>0.16700000000000001</v>
      </c>
      <c r="F494" s="17">
        <v>1.2330000000000001</v>
      </c>
      <c r="G494" s="22">
        <f t="shared" si="7"/>
        <v>7.3000000000000007</v>
      </c>
      <c r="H494" s="11" t="s">
        <v>137</v>
      </c>
      <c r="I494" s="24">
        <f>IFERROR(VLOOKUP($H494,'[1]Actual &amp; PO  Analysis 2020'!$A$4:$BJ$300,62,0),"")</f>
        <v>0.84533333333333338</v>
      </c>
      <c r="J494" s="24">
        <f>IFERROR(VLOOKUP($H494,'[1]Actual &amp; PO  Analysis 2020'!$A$4:$BP$300,68,0),"")</f>
        <v>0.59166666666666667</v>
      </c>
      <c r="K494" s="24">
        <f>IFERROR(VLOOKUP($H494,'[1]Actual &amp; PO  Analysis 2020'!$A$4:$BV$300,74,0),"")</f>
        <v>3.7626666666666666</v>
      </c>
      <c r="L494" s="24">
        <f>IFERROR(VLOOKUP($H494,'[1]Actual &amp; PO  Analysis 2020'!$A$4:$CB$300,80,0),"")</f>
        <v>0.15866666666666665</v>
      </c>
      <c r="M494" s="24">
        <f>IFERROR(VLOOKUP($H494,'[1]Actual &amp; PO  Analysis 2020'!$A$4:$CH$300,86,0),"")</f>
        <v>0.97566666666666657</v>
      </c>
      <c r="N494" s="25">
        <v>6.8159999999999998</v>
      </c>
    </row>
    <row r="495" spans="1:14" x14ac:dyDescent="0.25">
      <c r="A495" s="11" t="s">
        <v>165</v>
      </c>
      <c r="B495" s="17">
        <v>0</v>
      </c>
      <c r="C495" s="17">
        <v>1.31</v>
      </c>
      <c r="D495" s="17">
        <v>1.83</v>
      </c>
      <c r="E495" s="17">
        <v>0.1</v>
      </c>
      <c r="F495" s="17">
        <v>0.74</v>
      </c>
      <c r="G495" s="22">
        <f t="shared" si="7"/>
        <v>3.9800000000000004</v>
      </c>
      <c r="H495" s="11" t="s">
        <v>145</v>
      </c>
      <c r="I495" s="24">
        <f>IFERROR(VLOOKUP($H495,'[1]Actual &amp; PO  Analysis 2020'!$A$4:$BJ$300,62,0),"")</f>
        <v>0.51550000000000007</v>
      </c>
      <c r="J495" s="24">
        <f>IFERROR(VLOOKUP($H495,'[1]Actual &amp; PO  Analysis 2020'!$A$4:$BP$300,68,0),"")</f>
        <v>0.64349999999999996</v>
      </c>
      <c r="K495" s="24">
        <f>IFERROR(VLOOKUP($H495,'[1]Actual &amp; PO  Analysis 2020'!$A$4:$BV$300,74,0),"")</f>
        <v>3.734</v>
      </c>
      <c r="L495" s="24">
        <f>IFERROR(VLOOKUP($H495,'[1]Actual &amp; PO  Analysis 2020'!$A$4:$CB$300,80,0),"")</f>
        <v>0.18033333333333332</v>
      </c>
      <c r="M495" s="24">
        <f>IFERROR(VLOOKUP($H495,'[1]Actual &amp; PO  Analysis 2020'!$A$4:$CH$300,86,0),"")</f>
        <v>1.3293333333333333</v>
      </c>
      <c r="N495" s="25">
        <v>8.7469999999999999</v>
      </c>
    </row>
    <row r="496" spans="1:14" x14ac:dyDescent="0.25">
      <c r="A496" s="11" t="s">
        <v>163</v>
      </c>
      <c r="B496" s="17">
        <v>0</v>
      </c>
      <c r="C496" s="17">
        <v>1.31</v>
      </c>
      <c r="D496" s="17">
        <v>1.8900000000000001</v>
      </c>
      <c r="E496" s="17">
        <v>0.1</v>
      </c>
      <c r="F496" s="17">
        <v>0.74</v>
      </c>
      <c r="G496" s="22">
        <f t="shared" si="7"/>
        <v>4.04</v>
      </c>
      <c r="H496" s="11" t="s">
        <v>146</v>
      </c>
      <c r="I496" s="24">
        <f>IFERROR(VLOOKUP($H496,'[1]Actual &amp; PO  Analysis 2020'!$A$4:$BJ$300,62,0),"")</f>
        <v>1.329</v>
      </c>
      <c r="J496" s="24">
        <f>IFERROR(VLOOKUP($H496,'[1]Actual &amp; PO  Analysis 2020'!$A$4:$BP$300,68,0),"")</f>
        <v>0.52875000000000005</v>
      </c>
      <c r="K496" s="24">
        <f>IFERROR(VLOOKUP($H496,'[1]Actual &amp; PO  Analysis 2020'!$A$4:$BV$300,74,0),"")</f>
        <v>2.7486666666666664</v>
      </c>
      <c r="L496" s="24">
        <f>IFERROR(VLOOKUP($H496,'[1]Actual &amp; PO  Analysis 2020'!$A$4:$CB$300,80,0),"")</f>
        <v>0.17100000000000001</v>
      </c>
      <c r="M496" s="24">
        <f>IFERROR(VLOOKUP($H496,'[1]Actual &amp; PO  Analysis 2020'!$A$4:$CH$300,86,0),"")</f>
        <v>1.3936666666666666</v>
      </c>
      <c r="N496" s="25">
        <v>6.1884999999999994</v>
      </c>
    </row>
    <row r="497" spans="1:14" x14ac:dyDescent="0.25">
      <c r="A497" s="11" t="s">
        <v>168</v>
      </c>
      <c r="B497" s="17">
        <v>0.54</v>
      </c>
      <c r="C497" s="17">
        <v>0.77</v>
      </c>
      <c r="D497" s="17">
        <v>1.83</v>
      </c>
      <c r="E497" s="17">
        <v>0.1</v>
      </c>
      <c r="F497" s="17">
        <v>0.74</v>
      </c>
      <c r="G497" s="22">
        <f t="shared" si="7"/>
        <v>3.9800000000000004</v>
      </c>
      <c r="H497" s="11" t="s">
        <v>147</v>
      </c>
      <c r="I497" s="24">
        <f>IFERROR(VLOOKUP($H497,'[1]Actual &amp; PO  Analysis 2020'!$A$4:$BJ$300,62,0),"")</f>
        <v>0.95649999999999991</v>
      </c>
      <c r="J497" s="24">
        <f>IFERROR(VLOOKUP($H497,'[1]Actual &amp; PO  Analysis 2020'!$A$4:$BP$300,68,0),"")</f>
        <v>0.92149999999999999</v>
      </c>
      <c r="K497" s="24">
        <f>IFERROR(VLOOKUP($H497,'[1]Actual &amp; PO  Analysis 2020'!$A$4:$BV$300,74,0),"")</f>
        <v>3.8303333333333334</v>
      </c>
      <c r="L497" s="24">
        <f>IFERROR(VLOOKUP($H497,'[1]Actual &amp; PO  Analysis 2020'!$A$4:$CB$300,80,0),"")</f>
        <v>0.17149999999999999</v>
      </c>
      <c r="M497" s="24">
        <f>IFERROR(VLOOKUP($H497,'[1]Actual &amp; PO  Analysis 2020'!$A$4:$CH$300,86,0),"")</f>
        <v>1.514</v>
      </c>
      <c r="N497" s="25">
        <v>7.975833333333334</v>
      </c>
    </row>
    <row r="498" spans="1:14" x14ac:dyDescent="0.25">
      <c r="A498" s="11" t="s">
        <v>164</v>
      </c>
      <c r="B498" s="17">
        <v>0</v>
      </c>
      <c r="C498" s="17">
        <v>1.75</v>
      </c>
      <c r="D498" s="17">
        <v>1.83</v>
      </c>
      <c r="E498" s="17">
        <v>0.1</v>
      </c>
      <c r="F498" s="17">
        <v>0.74</v>
      </c>
      <c r="G498" s="22">
        <f t="shared" si="7"/>
        <v>4.42</v>
      </c>
      <c r="H498" s="11" t="s">
        <v>196</v>
      </c>
      <c r="I498" s="24">
        <f>IFERROR(VLOOKUP($H498,'[1]Actual &amp; PO  Analysis 2020'!$A$4:$BJ$300,62,0),"")</f>
        <v>1.7694999999999999</v>
      </c>
      <c r="J498" s="24">
        <f>IFERROR(VLOOKUP($H498,'[1]Actual &amp; PO  Analysis 2020'!$A$4:$BP$300,68,0),"")</f>
        <v>0.6</v>
      </c>
      <c r="K498" s="24">
        <f>IFERROR(VLOOKUP($H498,'[1]Actual &amp; PO  Analysis 2020'!$A$4:$BV$300,74,0),"")</f>
        <v>2.714</v>
      </c>
      <c r="L498" s="24">
        <f>IFERROR(VLOOKUP($H498,'[1]Actual &amp; PO  Analysis 2020'!$A$4:$CB$300,80,0),"")</f>
        <v>0.16400000000000001</v>
      </c>
      <c r="M498" s="24">
        <f>IFERROR(VLOOKUP($H498,'[1]Actual &amp; PO  Analysis 2020'!$A$4:$CH$300,86,0),"")</f>
        <v>1.1819999999999999</v>
      </c>
      <c r="N498" s="25">
        <v>6.2016666666666671</v>
      </c>
    </row>
    <row r="499" spans="1:14" x14ac:dyDescent="0.25">
      <c r="A499" s="11" t="s">
        <v>465</v>
      </c>
      <c r="B499" s="17">
        <v>0</v>
      </c>
      <c r="C499" s="17">
        <v>4.12</v>
      </c>
      <c r="D499" s="17">
        <v>3.23</v>
      </c>
      <c r="E499" s="17">
        <v>0</v>
      </c>
      <c r="F499" s="17">
        <v>0.85</v>
      </c>
      <c r="G499" s="22">
        <f t="shared" si="7"/>
        <v>8.1999999999999993</v>
      </c>
      <c r="H499" s="11" t="s">
        <v>165</v>
      </c>
      <c r="I499" s="24" t="str">
        <f>IFERROR(VLOOKUP($H499,'[1]Actual &amp; PO  Analysis 2020'!$A$4:$BJ$300,62,0),"")</f>
        <v/>
      </c>
      <c r="J499" s="24" t="str">
        <f>IFERROR(VLOOKUP($H499,'[1]Actual &amp; PO  Analysis 2020'!$A$4:$BP$300,68,0),"")</f>
        <v/>
      </c>
      <c r="K499" s="24" t="str">
        <f>IFERROR(VLOOKUP($H499,'[1]Actual &amp; PO  Analysis 2020'!$A$4:$BV$300,74,0),"")</f>
        <v/>
      </c>
      <c r="L499" s="24" t="str">
        <f>IFERROR(VLOOKUP($H499,'[1]Actual &amp; PO  Analysis 2020'!$A$4:$CB$300,80,0),"")</f>
        <v/>
      </c>
      <c r="M499" s="24" t="str">
        <f>IFERROR(VLOOKUP($H499,'[1]Actual &amp; PO  Analysis 2020'!$A$4:$CH$300,86,0),"")</f>
        <v/>
      </c>
      <c r="N499" s="25">
        <v>0</v>
      </c>
    </row>
    <row r="500" spans="1:14" x14ac:dyDescent="0.25">
      <c r="A500" s="11" t="s">
        <v>466</v>
      </c>
      <c r="B500" s="17">
        <v>0</v>
      </c>
      <c r="C500" s="17">
        <v>4.93</v>
      </c>
      <c r="D500" s="17">
        <v>3.3</v>
      </c>
      <c r="E500" s="17">
        <v>0</v>
      </c>
      <c r="F500" s="17">
        <v>0.85</v>
      </c>
      <c r="G500" s="22">
        <f t="shared" si="7"/>
        <v>9.08</v>
      </c>
      <c r="H500" s="11" t="s">
        <v>163</v>
      </c>
      <c r="I500" s="24" t="str">
        <f>IFERROR(VLOOKUP($H500,'[1]Actual &amp; PO  Analysis 2020'!$A$4:$BJ$300,62,0),"")</f>
        <v/>
      </c>
      <c r="J500" s="24" t="str">
        <f>IFERROR(VLOOKUP($H500,'[1]Actual &amp; PO  Analysis 2020'!$A$4:$BP$300,68,0),"")</f>
        <v/>
      </c>
      <c r="K500" s="24" t="str">
        <f>IFERROR(VLOOKUP($H500,'[1]Actual &amp; PO  Analysis 2020'!$A$4:$BV$300,74,0),"")</f>
        <v/>
      </c>
      <c r="L500" s="24" t="str">
        <f>IFERROR(VLOOKUP($H500,'[1]Actual &amp; PO  Analysis 2020'!$A$4:$CB$300,80,0),"")</f>
        <v/>
      </c>
      <c r="M500" s="24" t="str">
        <f>IFERROR(VLOOKUP($H500,'[1]Actual &amp; PO  Analysis 2020'!$A$4:$CH$300,86,0),"")</f>
        <v/>
      </c>
      <c r="N500" s="25">
        <v>0</v>
      </c>
    </row>
    <row r="501" spans="1:14" x14ac:dyDescent="0.25">
      <c r="A501" s="11" t="s">
        <v>459</v>
      </c>
      <c r="B501" s="17">
        <v>0</v>
      </c>
      <c r="C501" s="17">
        <v>3.52</v>
      </c>
      <c r="D501" s="17">
        <v>1.95</v>
      </c>
      <c r="E501" s="17">
        <v>0</v>
      </c>
      <c r="F501" s="17">
        <v>0.65</v>
      </c>
      <c r="G501" s="22">
        <f t="shared" si="7"/>
        <v>6.12</v>
      </c>
      <c r="H501" s="11" t="s">
        <v>168</v>
      </c>
      <c r="I501" s="24" t="str">
        <f>IFERROR(VLOOKUP($H501,'[1]Actual &amp; PO  Analysis 2020'!$A$4:$BJ$300,62,0),"")</f>
        <v/>
      </c>
      <c r="J501" s="24" t="str">
        <f>IFERROR(VLOOKUP($H501,'[1]Actual &amp; PO  Analysis 2020'!$A$4:$BP$300,68,0),"")</f>
        <v/>
      </c>
      <c r="K501" s="24" t="str">
        <f>IFERROR(VLOOKUP($H501,'[1]Actual &amp; PO  Analysis 2020'!$A$4:$BV$300,74,0),"")</f>
        <v/>
      </c>
      <c r="L501" s="24" t="str">
        <f>IFERROR(VLOOKUP($H501,'[1]Actual &amp; PO  Analysis 2020'!$A$4:$CB$300,80,0),"")</f>
        <v/>
      </c>
      <c r="M501" s="24" t="str">
        <f>IFERROR(VLOOKUP($H501,'[1]Actual &amp; PO  Analysis 2020'!$A$4:$CH$300,86,0),"")</f>
        <v/>
      </c>
      <c r="N501" s="25">
        <v>0</v>
      </c>
    </row>
    <row r="502" spans="1:14" x14ac:dyDescent="0.25">
      <c r="A502" s="11" t="s">
        <v>179</v>
      </c>
      <c r="B502" s="17">
        <v>0</v>
      </c>
      <c r="C502" s="17">
        <v>1.821</v>
      </c>
      <c r="D502" s="17">
        <v>2.5270000000000001</v>
      </c>
      <c r="E502" s="17">
        <v>0.124</v>
      </c>
      <c r="F502" s="17">
        <v>0.81799999999999995</v>
      </c>
      <c r="G502" s="22">
        <f t="shared" si="7"/>
        <v>5.2899999999999991</v>
      </c>
      <c r="H502" s="11" t="s">
        <v>164</v>
      </c>
      <c r="I502" s="24" t="str">
        <f>IFERROR(VLOOKUP($H502,'[1]Actual &amp; PO  Analysis 2020'!$A$4:$BJ$300,62,0),"")</f>
        <v/>
      </c>
      <c r="J502" s="24" t="str">
        <f>IFERROR(VLOOKUP($H502,'[1]Actual &amp; PO  Analysis 2020'!$A$4:$BP$300,68,0),"")</f>
        <v/>
      </c>
      <c r="K502" s="24" t="str">
        <f>IFERROR(VLOOKUP($H502,'[1]Actual &amp; PO  Analysis 2020'!$A$4:$BV$300,74,0),"")</f>
        <v/>
      </c>
      <c r="L502" s="24" t="str">
        <f>IFERROR(VLOOKUP($H502,'[1]Actual &amp; PO  Analysis 2020'!$A$4:$CB$300,80,0),"")</f>
        <v/>
      </c>
      <c r="M502" s="24" t="str">
        <f>IFERROR(VLOOKUP($H502,'[1]Actual &amp; PO  Analysis 2020'!$A$4:$CH$300,86,0),"")</f>
        <v/>
      </c>
      <c r="N502" s="25">
        <v>0</v>
      </c>
    </row>
    <row r="503" spans="1:14" x14ac:dyDescent="0.25">
      <c r="A503" s="11" t="s">
        <v>426</v>
      </c>
      <c r="B503" s="17">
        <v>0</v>
      </c>
      <c r="C503" s="17">
        <v>1.42</v>
      </c>
      <c r="D503" s="17">
        <v>2.0299999999999998</v>
      </c>
      <c r="E503" s="17">
        <v>0.1</v>
      </c>
      <c r="F503" s="17">
        <v>0.74</v>
      </c>
      <c r="G503" s="22">
        <f t="shared" si="7"/>
        <v>4.29</v>
      </c>
      <c r="H503" s="11" t="s">
        <v>465</v>
      </c>
      <c r="I503" s="24" t="str">
        <f>IFERROR(VLOOKUP($H503,'[1]Actual &amp; PO  Analysis 2020'!$A$4:$BJ$300,62,0),"")</f>
        <v>0</v>
      </c>
      <c r="J503" s="24">
        <f>IFERROR(VLOOKUP($H503,'[1]Actual &amp; PO  Analysis 2020'!$A$4:$BP$300,68,0),"")</f>
        <v>7.862166666666667</v>
      </c>
      <c r="K503" s="24">
        <f>IFERROR(VLOOKUP($H503,'[1]Actual &amp; PO  Analysis 2020'!$A$4:$BV$300,74,0),"")</f>
        <v>3.5355000000000003</v>
      </c>
      <c r="L503" s="24">
        <f>IFERROR(VLOOKUP($H503,'[1]Actual &amp; PO  Analysis 2020'!$A$4:$CB$300,80,0),"")</f>
        <v>0.17416666666666666</v>
      </c>
      <c r="M503" s="24">
        <f>IFERROR(VLOOKUP($H503,'[1]Actual &amp; PO  Analysis 2020'!$A$4:$CH$300,86,0),"")</f>
        <v>1.2685</v>
      </c>
      <c r="N503" s="25">
        <v>9.3486666666666665</v>
      </c>
    </row>
    <row r="504" spans="1:14" x14ac:dyDescent="0.25">
      <c r="A504" s="11" t="s">
        <v>462</v>
      </c>
      <c r="B504" s="17">
        <v>0</v>
      </c>
      <c r="C504" s="17">
        <v>0</v>
      </c>
      <c r="D504" s="17">
        <v>0</v>
      </c>
      <c r="E504" s="17">
        <v>0</v>
      </c>
      <c r="F504" s="17">
        <v>0</v>
      </c>
      <c r="G504" s="22">
        <f t="shared" si="7"/>
        <v>0</v>
      </c>
      <c r="H504" s="11" t="s">
        <v>466</v>
      </c>
      <c r="I504" s="24" t="str">
        <f>IFERROR(VLOOKUP($H504,'[1]Actual &amp; PO  Analysis 2020'!$A$4:$BJ$300,62,0),"")</f>
        <v>0</v>
      </c>
      <c r="J504" s="24">
        <f>IFERROR(VLOOKUP($H504,'[1]Actual &amp; PO  Analysis 2020'!$A$4:$BP$300,68,0),"")</f>
        <v>10.277666666666667</v>
      </c>
      <c r="K504" s="24">
        <f>IFERROR(VLOOKUP($H504,'[1]Actual &amp; PO  Analysis 2020'!$A$4:$BV$300,74,0),"")</f>
        <v>4.2871666666666668</v>
      </c>
      <c r="L504" s="24">
        <f>IFERROR(VLOOKUP($H504,'[1]Actual &amp; PO  Analysis 2020'!$A$4:$CB$300,80,0),"")</f>
        <v>0.17883333333333332</v>
      </c>
      <c r="M504" s="24">
        <f>IFERROR(VLOOKUP($H504,'[1]Actual &amp; PO  Analysis 2020'!$A$4:$CH$300,86,0),"")</f>
        <v>1.3233333333333335</v>
      </c>
      <c r="N504" s="25">
        <v>17.068000000000001</v>
      </c>
    </row>
    <row r="505" spans="1:14" x14ac:dyDescent="0.25">
      <c r="A505" s="11" t="s">
        <v>463</v>
      </c>
      <c r="B505" s="17">
        <v>0</v>
      </c>
      <c r="C505" s="17">
        <v>0</v>
      </c>
      <c r="D505" s="17">
        <v>0</v>
      </c>
      <c r="E505" s="17">
        <v>0</v>
      </c>
      <c r="F505" s="17">
        <v>0</v>
      </c>
      <c r="G505" s="22">
        <f t="shared" si="7"/>
        <v>0</v>
      </c>
      <c r="H505" s="11" t="s">
        <v>459</v>
      </c>
      <c r="I505" s="24" t="str">
        <f>IFERROR(VLOOKUP($H505,'[1]Actual &amp; PO  Analysis 2020'!$A$4:$BJ$300,62,0),"")</f>
        <v>0</v>
      </c>
      <c r="J505" s="24">
        <f>IFERROR(VLOOKUP($H505,'[1]Actual &amp; PO  Analysis 2020'!$A$4:$BP$300,68,0),"")</f>
        <v>6.7249999999999996</v>
      </c>
      <c r="K505" s="24">
        <f>IFERROR(VLOOKUP($H505,'[1]Actual &amp; PO  Analysis 2020'!$A$4:$BV$300,74,0),"")</f>
        <v>2.8883333333333332</v>
      </c>
      <c r="L505" s="24">
        <f>IFERROR(VLOOKUP($H505,'[1]Actual &amp; PO  Analysis 2020'!$A$4:$CB$300,80,0),"")</f>
        <v>0.154</v>
      </c>
      <c r="M505" s="24">
        <f>IFERROR(VLOOKUP($H505,'[1]Actual &amp; PO  Analysis 2020'!$A$4:$CH$300,86,0),"")</f>
        <v>1.5670000000000002</v>
      </c>
      <c r="N505" s="25">
        <v>13.2255</v>
      </c>
    </row>
    <row r="506" spans="1:14" x14ac:dyDescent="0.25">
      <c r="A506" s="11" t="s">
        <v>464</v>
      </c>
      <c r="B506" s="17">
        <v>0</v>
      </c>
      <c r="C506" s="17">
        <v>0</v>
      </c>
      <c r="D506" s="17">
        <v>0</v>
      </c>
      <c r="E506" s="17">
        <v>0</v>
      </c>
      <c r="F506" s="17">
        <v>0</v>
      </c>
      <c r="G506" s="22">
        <f t="shared" si="7"/>
        <v>0</v>
      </c>
      <c r="H506" s="11" t="s">
        <v>179</v>
      </c>
      <c r="I506" s="24" t="str">
        <f>IFERROR(VLOOKUP($H506,'[1]Actual &amp; PO  Analysis 2020'!$A$4:$BJ$300,62,0),"")</f>
        <v/>
      </c>
      <c r="J506" s="24" t="str">
        <f>IFERROR(VLOOKUP($H506,'[1]Actual &amp; PO  Analysis 2020'!$A$4:$BP$300,68,0),"")</f>
        <v/>
      </c>
      <c r="K506" s="24" t="str">
        <f>IFERROR(VLOOKUP($H506,'[1]Actual &amp; PO  Analysis 2020'!$A$4:$BV$300,74,0),"")</f>
        <v/>
      </c>
      <c r="L506" s="24" t="str">
        <f>IFERROR(VLOOKUP($H506,'[1]Actual &amp; PO  Analysis 2020'!$A$4:$CB$300,80,0),"")</f>
        <v/>
      </c>
      <c r="M506" s="24" t="str">
        <f>IFERROR(VLOOKUP($H506,'[1]Actual &amp; PO  Analysis 2020'!$A$4:$CH$300,86,0),"")</f>
        <v/>
      </c>
      <c r="N506" s="25">
        <v>0</v>
      </c>
    </row>
    <row r="507" spans="1:14" x14ac:dyDescent="0.25">
      <c r="H507" s="11" t="s">
        <v>426</v>
      </c>
      <c r="I507" s="24" t="str">
        <f>IFERROR(VLOOKUP($H507,'[1]Actual &amp; PO  Analysis 2020'!$A$4:$BJ$300,62,0),"")</f>
        <v/>
      </c>
      <c r="J507" s="24" t="str">
        <f>IFERROR(VLOOKUP($H507,'[1]Actual &amp; PO  Analysis 2020'!$A$4:$BP$300,68,0),"")</f>
        <v/>
      </c>
      <c r="K507" s="24" t="str">
        <f>IFERROR(VLOOKUP($H507,'[1]Actual &amp; PO  Analysis 2020'!$A$4:$BV$300,74,0),"")</f>
        <v/>
      </c>
      <c r="L507" s="24" t="str">
        <f>IFERROR(VLOOKUP($H507,'[1]Actual &amp; PO  Analysis 2020'!$A$4:$CB$300,80,0),"")</f>
        <v/>
      </c>
      <c r="M507" s="24" t="str">
        <f>IFERROR(VLOOKUP($H507,'[1]Actual &amp; PO  Analysis 2020'!$A$4:$CH$300,86,0),"")</f>
        <v/>
      </c>
      <c r="N507" s="25">
        <v>0</v>
      </c>
    </row>
    <row r="508" spans="1:14" x14ac:dyDescent="0.25">
      <c r="H508" s="11" t="s">
        <v>462</v>
      </c>
      <c r="I508" s="24" t="str">
        <f>IFERROR(VLOOKUP($H508,'[1]Actual &amp; PO  Analysis 2020'!$A$4:$BJ$300,62,0),"")</f>
        <v/>
      </c>
      <c r="J508" s="24" t="str">
        <f>IFERROR(VLOOKUP($H508,'[1]Actual &amp; PO  Analysis 2020'!$A$4:$BP$300,68,0),"")</f>
        <v/>
      </c>
      <c r="K508" s="24" t="str">
        <f>IFERROR(VLOOKUP($H508,'[1]Actual &amp; PO  Analysis 2020'!$A$4:$BV$300,74,0),"")</f>
        <v/>
      </c>
      <c r="L508" s="24" t="str">
        <f>IFERROR(VLOOKUP($H508,'[1]Actual &amp; PO  Analysis 2020'!$A$4:$CB$300,80,0),"")</f>
        <v/>
      </c>
      <c r="M508" s="24" t="str">
        <f>IFERROR(VLOOKUP($H508,'[1]Actual &amp; PO  Analysis 2020'!$A$4:$CH$300,86,0),"")</f>
        <v/>
      </c>
      <c r="N508" s="25">
        <v>0</v>
      </c>
    </row>
    <row r="509" spans="1:14" x14ac:dyDescent="0.25">
      <c r="H509" s="11" t="s">
        <v>463</v>
      </c>
      <c r="I509" s="24" t="str">
        <f>IFERROR(VLOOKUP($H509,'[1]Actual &amp; PO  Analysis 2020'!$A$4:$BJ$300,62,0),"")</f>
        <v/>
      </c>
      <c r="J509" s="24" t="str">
        <f>IFERROR(VLOOKUP($H509,'[1]Actual &amp; PO  Analysis 2020'!$A$4:$BP$300,68,0),"")</f>
        <v/>
      </c>
      <c r="K509" s="24" t="str">
        <f>IFERROR(VLOOKUP($H509,'[1]Actual &amp; PO  Analysis 2020'!$A$4:$BV$300,74,0),"")</f>
        <v/>
      </c>
      <c r="L509" s="24" t="str">
        <f>IFERROR(VLOOKUP($H509,'[1]Actual &amp; PO  Analysis 2020'!$A$4:$CB$300,80,0),"")</f>
        <v/>
      </c>
      <c r="M509" s="24" t="str">
        <f>IFERROR(VLOOKUP($H509,'[1]Actual &amp; PO  Analysis 2020'!$A$4:$CH$300,86,0),"")</f>
        <v/>
      </c>
      <c r="N509" s="25">
        <v>0</v>
      </c>
    </row>
    <row r="510" spans="1:14" x14ac:dyDescent="0.25">
      <c r="H510" s="11" t="s">
        <v>464</v>
      </c>
      <c r="I510" s="24" t="str">
        <f>IFERROR(VLOOKUP($H510,'[1]Actual &amp; PO  Analysis 2020'!$A$4:$BJ$300,62,0),"")</f>
        <v/>
      </c>
      <c r="J510" s="24" t="str">
        <f>IFERROR(VLOOKUP($H510,'[1]Actual &amp; PO  Analysis 2020'!$A$4:$BP$300,68,0),"")</f>
        <v/>
      </c>
      <c r="K510" s="24" t="str">
        <f>IFERROR(VLOOKUP($H510,'[1]Actual &amp; PO  Analysis 2020'!$A$4:$BV$300,74,0),"")</f>
        <v/>
      </c>
      <c r="L510" s="24" t="str">
        <f>IFERROR(VLOOKUP($H510,'[1]Actual &amp; PO  Analysis 2020'!$A$4:$CB$300,80,0),"")</f>
        <v/>
      </c>
      <c r="M510" s="24" t="str">
        <f>IFERROR(VLOOKUP($H510,'[1]Actual &amp; PO  Analysis 2020'!$A$4:$CH$300,86,0),"")</f>
        <v/>
      </c>
      <c r="N510" s="25">
        <v>0</v>
      </c>
    </row>
  </sheetData>
  <sheetProtection deleteRows="0"/>
  <autoFilter ref="A1:G1" xr:uid="{00000000-0001-0000-0000-000000000000}">
    <sortState xmlns:xlrd2="http://schemas.microsoft.com/office/spreadsheetml/2017/richdata2" ref="A2:G506">
      <sortCondition ref="A1"/>
    </sortState>
  </autoFilter>
  <dataValidations disablePrompts="1" count="1">
    <dataValidation type="list" allowBlank="1" showInputMessage="1" showErrorMessage="1" sqref="P6" xr:uid="{A538F5FB-B1FD-4B60-BCE7-59E2500BCC1B}">
      <formula1>"PO, Actual"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POSearch</vt:lpstr>
      <vt:lpstr>SourcePO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Pro01</dc:creator>
  <cp:lastModifiedBy>Pro01</cp:lastModifiedBy>
  <dcterms:created xsi:type="dcterms:W3CDTF">2015-06-05T18:17:20Z</dcterms:created>
  <dcterms:modified xsi:type="dcterms:W3CDTF">2021-08-23T08:26:17Z</dcterms:modified>
</cp:coreProperties>
</file>